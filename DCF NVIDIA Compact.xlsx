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erick\Documents\University of Luxembourg\Master First year\First semester\Empirical Finance\Project\"/>
    </mc:Choice>
  </mc:AlternateContent>
  <xr:revisionPtr revIDLastSave="0" documentId="13_ncr:1_{992CA733-1EBC-4E6F-8CF4-856765E05B5E}" xr6:coauthVersionLast="47" xr6:coauthVersionMax="47" xr10:uidLastSave="{00000000-0000-0000-0000-000000000000}"/>
  <bookViews>
    <workbookView xWindow="-98" yWindow="-98" windowWidth="21795" windowHeight="13695" activeTab="3" xr2:uid="{00000000-000D-0000-FFFF-FFFF00000000}"/>
  </bookViews>
  <sheets>
    <sheet name="Growth Factors" sheetId="3" r:id="rId1"/>
    <sheet name="Inputs" sheetId="1" r:id="rId2"/>
    <sheet name="Sheet1" sheetId="4" state="hidden" r:id="rId3"/>
    <sheet name="Compact DCF" sheetId="2" r:id="rId4"/>
    <sheet name="Compact DCF on Actuals" sheetId="5" r:id="rId5"/>
    <sheet name="Growth Factors out of sample" sheetId="7" r:id="rId6"/>
    <sheet name="Inputs out of sample" sheetId="9" r:id="rId7"/>
    <sheet name="Compact DCF out of sample" sheetId="8" r:id="rId8"/>
  </sheets>
  <definedNames>
    <definedName name="solver_eng" localSheetId="3" hidden="1">1</definedName>
    <definedName name="solver_eng" localSheetId="4" hidden="1">1</definedName>
    <definedName name="solver_eng" localSheetId="7" hidden="1">1</definedName>
    <definedName name="solver_eng" localSheetId="1" hidden="1">1</definedName>
    <definedName name="solver_eng" localSheetId="6" hidden="1">1</definedName>
    <definedName name="solver_neg" localSheetId="3" hidden="1">1</definedName>
    <definedName name="solver_neg" localSheetId="4" hidden="1">1</definedName>
    <definedName name="solver_neg" localSheetId="7" hidden="1">1</definedName>
    <definedName name="solver_neg" localSheetId="1" hidden="1">1</definedName>
    <definedName name="solver_neg" localSheetId="6" hidden="1">1</definedName>
    <definedName name="solver_num" localSheetId="3" hidden="1">0</definedName>
    <definedName name="solver_num" localSheetId="4" hidden="1">0</definedName>
    <definedName name="solver_num" localSheetId="7" hidden="1">0</definedName>
    <definedName name="solver_num" localSheetId="1" hidden="1">0</definedName>
    <definedName name="solver_num" localSheetId="6" hidden="1">0</definedName>
    <definedName name="solver_opt" localSheetId="3" hidden="1">'Compact DCF'!$J$100</definedName>
    <definedName name="solver_opt" localSheetId="4" hidden="1">'Compact DCF on Actuals'!$J$99</definedName>
    <definedName name="solver_opt" localSheetId="7" hidden="1">'Compact DCF out of sample'!$J$100</definedName>
    <definedName name="solver_opt" localSheetId="1" hidden="1">Inputs!$M$36</definedName>
    <definedName name="solver_opt" localSheetId="6" hidden="1">'Inputs out of sample'!$L$30</definedName>
    <definedName name="solver_typ" localSheetId="3" hidden="1">1</definedName>
    <definedName name="solver_typ" localSheetId="4" hidden="1">1</definedName>
    <definedName name="solver_typ" localSheetId="7" hidden="1">1</definedName>
    <definedName name="solver_typ" localSheetId="1" hidden="1">1</definedName>
    <definedName name="solver_typ" localSheetId="6" hidden="1">1</definedName>
    <definedName name="solver_val" localSheetId="3" hidden="1">0</definedName>
    <definedName name="solver_val" localSheetId="4" hidden="1">0</definedName>
    <definedName name="solver_val" localSheetId="7" hidden="1">0</definedName>
    <definedName name="solver_val" localSheetId="1" hidden="1">0</definedName>
    <definedName name="solver_val" localSheetId="6" hidden="1">0</definedName>
    <definedName name="solver_ver" localSheetId="3" hidden="1">3</definedName>
    <definedName name="solver_ver" localSheetId="4" hidden="1">3</definedName>
    <definedName name="solver_ver" localSheetId="7" hidden="1">3</definedName>
    <definedName name="solver_ver" localSheetId="1"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3" l="1"/>
  <c r="H33" i="3"/>
  <c r="J16" i="9"/>
  <c r="K16" i="9"/>
  <c r="L16" i="9"/>
  <c r="I16" i="9"/>
  <c r="J15" i="9"/>
  <c r="K15" i="9"/>
  <c r="L15" i="9"/>
  <c r="I15" i="9"/>
  <c r="L18" i="7"/>
  <c r="L22" i="7"/>
  <c r="L26" i="7"/>
  <c r="L32" i="7"/>
  <c r="L36" i="7"/>
  <c r="L40" i="7"/>
  <c r="L9" i="8"/>
  <c r="L12" i="9" a="1"/>
  <c r="L12" i="9" s="1"/>
  <c r="K12" i="9" a="1"/>
  <c r="K12" i="9" s="1"/>
  <c r="O12" i="8" s="1"/>
  <c r="P12" i="8" s="1"/>
  <c r="P25" i="8" s="1"/>
  <c r="J12" i="9" a="1"/>
  <c r="J12" i="9" s="1"/>
  <c r="N12" i="8" s="1"/>
  <c r="N25" i="8" s="1"/>
  <c r="I12" i="9" a="1"/>
  <c r="I12" i="9" s="1"/>
  <c r="M12" i="8" s="1"/>
  <c r="M25" i="8" s="1"/>
  <c r="J4" i="9"/>
  <c r="K4" i="9" s="1"/>
  <c r="C103" i="8"/>
  <c r="F100" i="8"/>
  <c r="C92" i="8"/>
  <c r="J92" i="8" s="1"/>
  <c r="J104" i="8" s="1"/>
  <c r="J91" i="8"/>
  <c r="J103" i="8" s="1"/>
  <c r="C90" i="8"/>
  <c r="C89" i="8" s="1"/>
  <c r="G88" i="8"/>
  <c r="G100" i="8" s="1"/>
  <c r="E88" i="8"/>
  <c r="E100" i="8" s="1"/>
  <c r="G81" i="8"/>
  <c r="F103" i="8" s="1"/>
  <c r="N79" i="8"/>
  <c r="G79" i="8"/>
  <c r="N78" i="8"/>
  <c r="G78" i="8"/>
  <c r="M39" i="8"/>
  <c r="N39" i="8" s="1"/>
  <c r="O39" i="8" s="1"/>
  <c r="P39" i="8" s="1"/>
  <c r="L39" i="8"/>
  <c r="L16" i="8"/>
  <c r="K16" i="8"/>
  <c r="P15" i="8"/>
  <c r="L12" i="8"/>
  <c r="K12" i="8"/>
  <c r="L4" i="8"/>
  <c r="M4" i="8" s="1"/>
  <c r="N4" i="8" s="1"/>
  <c r="O4" i="8" s="1"/>
  <c r="B1" i="8"/>
  <c r="H41" i="7"/>
  <c r="J40" i="7"/>
  <c r="K40" i="7" s="1"/>
  <c r="I37" i="7"/>
  <c r="J37" i="7" s="1"/>
  <c r="K37" i="7" s="1"/>
  <c r="L37" i="7" s="1"/>
  <c r="K36" i="7"/>
  <c r="J36" i="7"/>
  <c r="H33" i="7"/>
  <c r="J32" i="7"/>
  <c r="K32" i="7" s="1"/>
  <c r="J30" i="7"/>
  <c r="K30" i="7" s="1"/>
  <c r="H27" i="7"/>
  <c r="J26" i="7"/>
  <c r="K26" i="7" s="1"/>
  <c r="H23" i="7"/>
  <c r="J22" i="7"/>
  <c r="K22" i="7" s="1"/>
  <c r="H19" i="7"/>
  <c r="J18" i="7"/>
  <c r="K18" i="7" s="1"/>
  <c r="J16" i="7"/>
  <c r="K16" i="7" s="1"/>
  <c r="J9" i="7"/>
  <c r="I9" i="7"/>
  <c r="H9" i="7"/>
  <c r="E9" i="7"/>
  <c r="D9" i="7"/>
  <c r="C9" i="7"/>
  <c r="M42" i="1"/>
  <c r="M43" i="1"/>
  <c r="D101" i="2"/>
  <c r="I21" i="9" l="1"/>
  <c r="J21" i="9" s="1"/>
  <c r="K21" i="9" s="1"/>
  <c r="L21" i="9" s="1"/>
  <c r="I27" i="7"/>
  <c r="J27" i="7" s="1"/>
  <c r="K27" i="7" s="1"/>
  <c r="L27" i="7" s="1"/>
  <c r="L10" i="9" s="1"/>
  <c r="I33" i="7"/>
  <c r="I41" i="7"/>
  <c r="I23" i="7"/>
  <c r="I19" i="7"/>
  <c r="D102" i="8"/>
  <c r="K90" i="8" s="1"/>
  <c r="K102" i="8" s="1"/>
  <c r="E102" i="8"/>
  <c r="L90" i="8" s="1"/>
  <c r="L102" i="8" s="1"/>
  <c r="H103" i="8"/>
  <c r="O91" i="8" s="1"/>
  <c r="O103" i="8" s="1"/>
  <c r="C102" i="8"/>
  <c r="C93" i="8"/>
  <c r="C105" i="8" s="1"/>
  <c r="M91" i="8"/>
  <c r="M103" i="8" s="1"/>
  <c r="D88" i="8"/>
  <c r="D100" i="8" s="1"/>
  <c r="J90" i="8"/>
  <c r="J102" i="8" s="1"/>
  <c r="J89" i="8"/>
  <c r="J101" i="8" s="1"/>
  <c r="C101" i="8"/>
  <c r="G103" i="8"/>
  <c r="N91" i="8" s="1"/>
  <c r="N103" i="8" s="1"/>
  <c r="F102" i="8"/>
  <c r="M90" i="8" s="1"/>
  <c r="M102" i="8" s="1"/>
  <c r="G102" i="8"/>
  <c r="N90" i="8" s="1"/>
  <c r="N102" i="8" s="1"/>
  <c r="H88" i="8"/>
  <c r="H100" i="8" s="1"/>
  <c r="D101" i="8"/>
  <c r="K89" i="8" s="1"/>
  <c r="K101" i="8" s="1"/>
  <c r="H102" i="8"/>
  <c r="O90" i="8" s="1"/>
  <c r="O102" i="8" s="1"/>
  <c r="D105" i="8"/>
  <c r="K93" i="8" s="1"/>
  <c r="K105" i="8" s="1"/>
  <c r="K88" i="8" a="1"/>
  <c r="E101" i="8"/>
  <c r="L89" i="8" s="1"/>
  <c r="L101" i="8" s="1"/>
  <c r="E105" i="8"/>
  <c r="L93" i="8" s="1"/>
  <c r="L105" i="8" s="1"/>
  <c r="F101" i="8"/>
  <c r="M89" i="8" s="1"/>
  <c r="M101" i="8" s="1"/>
  <c r="F105" i="8"/>
  <c r="M93" i="8" s="1"/>
  <c r="M105" i="8" s="1"/>
  <c r="G101" i="8"/>
  <c r="N89" i="8" s="1"/>
  <c r="N101" i="8" s="1"/>
  <c r="C104" i="8"/>
  <c r="G105" i="8"/>
  <c r="N93" i="8" s="1"/>
  <c r="N105" i="8" s="1"/>
  <c r="H101" i="8"/>
  <c r="O89" i="8" s="1"/>
  <c r="O101" i="8" s="1"/>
  <c r="D104" i="8"/>
  <c r="K92" i="8" s="1"/>
  <c r="K104" i="8" s="1"/>
  <c r="H105" i="8"/>
  <c r="O93" i="8" s="1"/>
  <c r="O105" i="8" s="1"/>
  <c r="E104" i="8"/>
  <c r="L92" i="8" s="1"/>
  <c r="L104" i="8" s="1"/>
  <c r="F104" i="8"/>
  <c r="M92" i="8" s="1"/>
  <c r="M104" i="8" s="1"/>
  <c r="G104" i="8"/>
  <c r="N92" i="8" s="1"/>
  <c r="N104" i="8" s="1"/>
  <c r="D103" i="8"/>
  <c r="K91" i="8" s="1"/>
  <c r="K103" i="8" s="1"/>
  <c r="H104" i="8"/>
  <c r="O92" i="8" s="1"/>
  <c r="O104" i="8" s="1"/>
  <c r="O25" i="8"/>
  <c r="E103" i="8"/>
  <c r="L91" i="8" s="1"/>
  <c r="L103" i="8" s="1"/>
  <c r="L42" i="1"/>
  <c r="I10" i="9" l="1"/>
  <c r="J10" i="9"/>
  <c r="J41" i="7"/>
  <c r="K41" i="7" s="1"/>
  <c r="L41" i="7" s="1"/>
  <c r="I22" i="9"/>
  <c r="J33" i="7"/>
  <c r="K33" i="7" s="1"/>
  <c r="L33" i="7" s="1"/>
  <c r="I20" i="9"/>
  <c r="K10" i="9"/>
  <c r="J23" i="7"/>
  <c r="I9" i="9"/>
  <c r="J19" i="7"/>
  <c r="I8" i="9"/>
  <c r="J93" i="8"/>
  <c r="J105" i="8" s="1"/>
  <c r="K88" i="8"/>
  <c r="K100" i="8" s="1"/>
  <c r="O100" i="8"/>
  <c r="N100" i="8"/>
  <c r="L100" i="8"/>
  <c r="M100" i="8"/>
  <c r="M36" i="1"/>
  <c r="I6" i="9" l="1" a="1"/>
  <c r="I6" i="9" s="1"/>
  <c r="M9" i="8" s="1"/>
  <c r="M10" i="8" s="1"/>
  <c r="M23" i="8" s="1"/>
  <c r="I18" i="9" a="1"/>
  <c r="I18" i="9" s="1"/>
  <c r="M26" i="8" s="1"/>
  <c r="J22" i="9"/>
  <c r="K22" i="9" s="1"/>
  <c r="L22" i="9" s="1"/>
  <c r="J20" i="9"/>
  <c r="K23" i="7"/>
  <c r="L23" i="7" s="1"/>
  <c r="J9" i="9"/>
  <c r="K19" i="7"/>
  <c r="L19" i="7" s="1"/>
  <c r="J8" i="9"/>
  <c r="J6" i="9" s="1" a="1"/>
  <c r="J6" i="9" s="1"/>
  <c r="N9" i="8" s="1"/>
  <c r="G63" i="2"/>
  <c r="P11" i="5"/>
  <c r="P25" i="5"/>
  <c r="O11" i="5"/>
  <c r="N11" i="5"/>
  <c r="M11" i="5"/>
  <c r="L11" i="5"/>
  <c r="K11" i="5"/>
  <c r="P9" i="5"/>
  <c r="C102" i="5"/>
  <c r="F99" i="5"/>
  <c r="J91" i="5"/>
  <c r="J103" i="5" s="1"/>
  <c r="C91" i="5"/>
  <c r="C103" i="5" s="1"/>
  <c r="J90" i="5"/>
  <c r="J102" i="5" s="1"/>
  <c r="C89" i="5"/>
  <c r="C101" i="5" s="1"/>
  <c r="C88" i="5"/>
  <c r="J88" i="5" s="1"/>
  <c r="J100" i="5" s="1"/>
  <c r="G87" i="5"/>
  <c r="H87" i="5" s="1"/>
  <c r="H99" i="5" s="1"/>
  <c r="E87" i="5"/>
  <c r="E99" i="5" s="1"/>
  <c r="G80" i="5"/>
  <c r="F102" i="5" s="1"/>
  <c r="G77" i="5"/>
  <c r="K38" i="5"/>
  <c r="L38" i="5" s="1"/>
  <c r="M38" i="5" s="1"/>
  <c r="N38" i="5" s="1"/>
  <c r="O38" i="5" s="1"/>
  <c r="P38" i="5" s="1"/>
  <c r="J38" i="5"/>
  <c r="N24" i="5"/>
  <c r="P14" i="5"/>
  <c r="P24" i="5"/>
  <c r="O24" i="5"/>
  <c r="M24" i="5"/>
  <c r="L24" i="5"/>
  <c r="K24" i="5"/>
  <c r="L4" i="5"/>
  <c r="M4" i="5" s="1"/>
  <c r="N4" i="5" s="1"/>
  <c r="O4" i="5" s="1"/>
  <c r="B1" i="5"/>
  <c r="I22" i="1"/>
  <c r="J22" i="1" s="1"/>
  <c r="K22" i="1" s="1"/>
  <c r="L22" i="1" s="1"/>
  <c r="M22" i="1" s="1"/>
  <c r="H22" i="1"/>
  <c r="I21" i="1"/>
  <c r="J21" i="1" s="1"/>
  <c r="K21" i="1" s="1"/>
  <c r="L21" i="1" s="1"/>
  <c r="M21" i="1" s="1"/>
  <c r="H21" i="1"/>
  <c r="I20" i="1"/>
  <c r="J20" i="1" s="1"/>
  <c r="K20" i="1" s="1"/>
  <c r="L20" i="1" s="1"/>
  <c r="M20" i="1" s="1"/>
  <c r="H20" i="1"/>
  <c r="J41" i="3"/>
  <c r="K41" i="3" s="1"/>
  <c r="L41" i="3" s="1"/>
  <c r="M41" i="3" s="1"/>
  <c r="N41" i="3" s="1"/>
  <c r="I41" i="3"/>
  <c r="I37" i="3"/>
  <c r="N33" i="3"/>
  <c r="J33" i="3"/>
  <c r="K33" i="3" s="1"/>
  <c r="L33" i="3" s="1"/>
  <c r="M33" i="3" s="1"/>
  <c r="I33" i="3"/>
  <c r="J9" i="3"/>
  <c r="I9" i="3"/>
  <c r="H9" i="3"/>
  <c r="K7" i="4"/>
  <c r="D7" i="4"/>
  <c r="K20" i="4"/>
  <c r="K8" i="4"/>
  <c r="K9" i="4"/>
  <c r="K10" i="4"/>
  <c r="K11" i="4"/>
  <c r="K12" i="4"/>
  <c r="K13" i="4"/>
  <c r="K14" i="4"/>
  <c r="K15" i="4"/>
  <c r="K16" i="4"/>
  <c r="K17" i="4"/>
  <c r="K18" i="4"/>
  <c r="J20" i="4"/>
  <c r="J8" i="4"/>
  <c r="J9" i="4"/>
  <c r="J10" i="4"/>
  <c r="J11" i="4"/>
  <c r="J12" i="4"/>
  <c r="J13" i="4"/>
  <c r="J14" i="4"/>
  <c r="J15" i="4"/>
  <c r="J16" i="4"/>
  <c r="J17" i="4"/>
  <c r="J18" i="4"/>
  <c r="J19" i="4"/>
  <c r="J7" i="4"/>
  <c r="I20" i="4"/>
  <c r="J37" i="3"/>
  <c r="D20" i="4"/>
  <c r="D8" i="4"/>
  <c r="D9" i="4"/>
  <c r="D10" i="4"/>
  <c r="D11" i="4"/>
  <c r="D12" i="4"/>
  <c r="D13" i="4"/>
  <c r="D14" i="4"/>
  <c r="D15" i="4"/>
  <c r="D16" i="4"/>
  <c r="D17" i="4"/>
  <c r="D6" i="4"/>
  <c r="C20" i="4"/>
  <c r="C19" i="4"/>
  <c r="B4" i="4"/>
  <c r="C2" i="4"/>
  <c r="E2" i="4"/>
  <c r="D2" i="4"/>
  <c r="B2" i="4"/>
  <c r="F2" i="4"/>
  <c r="H27" i="3"/>
  <c r="H23" i="3"/>
  <c r="H19" i="3"/>
  <c r="E9" i="3"/>
  <c r="D9" i="3"/>
  <c r="C9" i="3"/>
  <c r="I19" i="3" s="1"/>
  <c r="J19" i="3" s="1"/>
  <c r="K19" i="3" s="1"/>
  <c r="L19" i="3" s="1"/>
  <c r="M19" i="3" s="1"/>
  <c r="N19" i="3" s="1"/>
  <c r="J15" i="2"/>
  <c r="I15" i="2"/>
  <c r="H15" i="2"/>
  <c r="J40" i="3"/>
  <c r="J36" i="3"/>
  <c r="K36" i="3" s="1"/>
  <c r="K32" i="3"/>
  <c r="L32" i="3" s="1"/>
  <c r="J32" i="3"/>
  <c r="J30" i="3"/>
  <c r="K30" i="3" s="1"/>
  <c r="L30" i="3" s="1"/>
  <c r="M30" i="3" s="1"/>
  <c r="N10" i="8" l="1"/>
  <c r="N13" i="8" s="1"/>
  <c r="N16" i="8" s="1"/>
  <c r="N24" i="8" s="1"/>
  <c r="M13" i="8"/>
  <c r="M16" i="8" s="1"/>
  <c r="M24" i="8" s="1"/>
  <c r="M27" i="8" s="1"/>
  <c r="M43" i="8" s="1"/>
  <c r="M47" i="8" s="1"/>
  <c r="M49" i="8" s="1"/>
  <c r="K20" i="9"/>
  <c r="J18" i="9" a="1"/>
  <c r="J18" i="9" s="1"/>
  <c r="N26" i="8" s="1"/>
  <c r="K9" i="9"/>
  <c r="K6" i="9" s="1" a="1"/>
  <c r="K6" i="9" s="1"/>
  <c r="O9" i="8" s="1"/>
  <c r="P9" i="8" s="1"/>
  <c r="K8" i="9"/>
  <c r="C92" i="5"/>
  <c r="C104" i="5" s="1"/>
  <c r="J89" i="5"/>
  <c r="J101" i="5" s="1"/>
  <c r="C100" i="5"/>
  <c r="D87" i="5"/>
  <c r="D99" i="5" s="1"/>
  <c r="E104" i="5"/>
  <c r="K22" i="5"/>
  <c r="K15" i="5"/>
  <c r="K87" i="5" a="1"/>
  <c r="D104" i="5"/>
  <c r="F104" i="5"/>
  <c r="G104" i="5"/>
  <c r="D101" i="5"/>
  <c r="E101" i="5"/>
  <c r="H100" i="5"/>
  <c r="D103" i="5"/>
  <c r="H104" i="5"/>
  <c r="G100" i="5"/>
  <c r="E103" i="5"/>
  <c r="F103" i="5"/>
  <c r="F101" i="5"/>
  <c r="G103" i="5"/>
  <c r="F100" i="5"/>
  <c r="G99" i="5"/>
  <c r="D102" i="5"/>
  <c r="H103" i="5"/>
  <c r="G101" i="5"/>
  <c r="H101" i="5"/>
  <c r="E100" i="5"/>
  <c r="E102" i="5"/>
  <c r="G102" i="5"/>
  <c r="H102" i="5"/>
  <c r="D100" i="5"/>
  <c r="K37" i="3"/>
  <c r="L37" i="3" s="1"/>
  <c r="M37" i="3" s="1"/>
  <c r="N37" i="3" s="1"/>
  <c r="I27" i="3"/>
  <c r="J27" i="3" s="1"/>
  <c r="K27" i="3" s="1"/>
  <c r="L27" i="3" s="1"/>
  <c r="M27" i="3" s="1"/>
  <c r="N27" i="3" s="1"/>
  <c r="I23" i="3"/>
  <c r="J23" i="3" s="1"/>
  <c r="K23" i="3" s="1"/>
  <c r="L23" i="3" s="1"/>
  <c r="M23" i="3" s="1"/>
  <c r="N23" i="3" s="1"/>
  <c r="M32" i="3"/>
  <c r="L36" i="3"/>
  <c r="K40" i="3"/>
  <c r="N23" i="8" l="1"/>
  <c r="N27" i="8" s="1"/>
  <c r="N43" i="8" s="1"/>
  <c r="N47" i="8" s="1"/>
  <c r="N49" i="8" s="1"/>
  <c r="O10" i="8"/>
  <c r="O13" i="8" s="1"/>
  <c r="O16" i="8" s="1"/>
  <c r="O24" i="8" s="1"/>
  <c r="L20" i="9"/>
  <c r="L18" i="9" s="1" a="1"/>
  <c r="L18" i="9" s="1"/>
  <c r="K18" i="9" a="1"/>
  <c r="K18" i="9" s="1"/>
  <c r="O26" i="8" s="1"/>
  <c r="P26" i="8" s="1"/>
  <c r="L9" i="9"/>
  <c r="L6" i="9" s="1" a="1"/>
  <c r="L6" i="9" s="1"/>
  <c r="L8" i="9"/>
  <c r="J92" i="5"/>
  <c r="J104" i="5" s="1"/>
  <c r="N99" i="5"/>
  <c r="M99" i="5"/>
  <c r="K87" i="5"/>
  <c r="K99" i="5" s="1"/>
  <c r="O99" i="5"/>
  <c r="L99" i="5"/>
  <c r="L15" i="5"/>
  <c r="L22" i="5"/>
  <c r="L40" i="3"/>
  <c r="M36" i="3"/>
  <c r="N32" i="3"/>
  <c r="O23" i="8" l="1"/>
  <c r="O27" i="8" s="1"/>
  <c r="O43" i="8" s="1"/>
  <c r="O47" i="8" s="1"/>
  <c r="F55" i="8" s="1"/>
  <c r="P10" i="8"/>
  <c r="P23" i="8" s="1"/>
  <c r="P13" i="8"/>
  <c r="P16" i="8" s="1"/>
  <c r="P24" i="8" s="1"/>
  <c r="M22" i="5"/>
  <c r="M15" i="5"/>
  <c r="N36" i="3"/>
  <c r="M40" i="3"/>
  <c r="P27" i="8" l="1"/>
  <c r="P43" i="8" s="1"/>
  <c r="O48" i="8" s="1"/>
  <c r="F56" i="8" s="1"/>
  <c r="F57" i="8" s="1"/>
  <c r="G56" i="8" s="1"/>
  <c r="N22" i="5"/>
  <c r="N15" i="5"/>
  <c r="N40" i="3"/>
  <c r="O49" i="8" l="1"/>
  <c r="G80" i="8"/>
  <c r="C88" i="8" s="1"/>
  <c r="G62" i="8"/>
  <c r="G64" i="8" s="1"/>
  <c r="N55" i="8" s="1"/>
  <c r="N57" i="8" s="1"/>
  <c r="N62" i="8" s="1"/>
  <c r="N64" i="8" s="1"/>
  <c r="G55" i="8"/>
  <c r="G57" i="8" s="1"/>
  <c r="O15" i="5"/>
  <c r="O22" i="5"/>
  <c r="H18" i="1" a="1"/>
  <c r="H18" i="1" s="1"/>
  <c r="K26" i="2" s="1"/>
  <c r="J12" i="2"/>
  <c r="I12" i="2"/>
  <c r="H12" i="2"/>
  <c r="P22" i="5" l="1"/>
  <c r="P12" i="5"/>
  <c r="P15" i="5" s="1"/>
  <c r="K23" i="5" s="1" a="1"/>
  <c r="O26" i="5" s="1"/>
  <c r="O42" i="5" s="1"/>
  <c r="O46" i="5" s="1"/>
  <c r="L15" i="2"/>
  <c r="M15" i="2" s="1"/>
  <c r="N15" i="2" s="1"/>
  <c r="O15" i="2" s="1"/>
  <c r="P15" i="2" s="1"/>
  <c r="F28" i="1" a="1"/>
  <c r="F28" i="1" s="1"/>
  <c r="M12" i="1" a="1"/>
  <c r="M12" i="1" s="1"/>
  <c r="P12" i="2" s="1"/>
  <c r="P25" i="2" s="1"/>
  <c r="L12" i="1" a="1"/>
  <c r="L12" i="1" s="1"/>
  <c r="O12" i="2" s="1"/>
  <c r="K12" i="1" a="1"/>
  <c r="K12" i="1" s="1"/>
  <c r="N12" i="2" s="1"/>
  <c r="J12" i="1" a="1"/>
  <c r="J12" i="1" s="1"/>
  <c r="M12" i="2" s="1"/>
  <c r="I12" i="1" a="1"/>
  <c r="I12" i="1" s="1"/>
  <c r="L12" i="2" s="1"/>
  <c r="H12" i="1" a="1"/>
  <c r="H12" i="1" s="1"/>
  <c r="K12" i="2" s="1"/>
  <c r="K25" i="2" s="1"/>
  <c r="H8" i="1"/>
  <c r="D36" i="1" a="1"/>
  <c r="D36" i="1" s="1"/>
  <c r="J16" i="3"/>
  <c r="K16" i="3" s="1"/>
  <c r="L16" i="3" s="1"/>
  <c r="M16" i="3" s="1"/>
  <c r="J26" i="3"/>
  <c r="J22" i="3"/>
  <c r="K22" i="3" s="1"/>
  <c r="L22" i="3" s="1"/>
  <c r="M22" i="3" s="1"/>
  <c r="N22" i="3" s="1"/>
  <c r="M9" i="1" s="1"/>
  <c r="J18" i="3"/>
  <c r="K18" i="3" s="1"/>
  <c r="B1" i="2"/>
  <c r="D37" i="1" l="1"/>
  <c r="E35" i="1" s="1"/>
  <c r="N56" i="2"/>
  <c r="N77" i="5"/>
  <c r="K23" i="5"/>
  <c r="K26" i="5" s="1"/>
  <c r="K42" i="5" s="1"/>
  <c r="K46" i="5" s="1"/>
  <c r="L26" i="5"/>
  <c r="L42" i="5" s="1"/>
  <c r="L46" i="5" s="1"/>
  <c r="L48" i="5" s="1"/>
  <c r="M26" i="5"/>
  <c r="M42" i="5" s="1"/>
  <c r="M46" i="5" s="1"/>
  <c r="M48" i="5" s="1"/>
  <c r="N26" i="5"/>
  <c r="N42" i="5" s="1"/>
  <c r="N46" i="5" s="1"/>
  <c r="N48" i="5" s="1"/>
  <c r="P26" i="5"/>
  <c r="P42" i="5" s="1"/>
  <c r="O47" i="5" s="1"/>
  <c r="I10" i="1"/>
  <c r="H10" i="1"/>
  <c r="H9" i="1"/>
  <c r="K26" i="3"/>
  <c r="J10" i="1" s="1"/>
  <c r="K9" i="1"/>
  <c r="L9" i="1"/>
  <c r="J9" i="1"/>
  <c r="I9" i="1"/>
  <c r="L18" i="3"/>
  <c r="J8" i="1"/>
  <c r="E36" i="1" l="1"/>
  <c r="E39" i="1" s="1"/>
  <c r="M90" i="5"/>
  <c r="L92" i="5"/>
  <c r="L88" i="5"/>
  <c r="N88" i="5"/>
  <c r="N90" i="5"/>
  <c r="K91" i="5"/>
  <c r="O88" i="5"/>
  <c r="M92" i="5"/>
  <c r="K92" i="5"/>
  <c r="N91" i="5"/>
  <c r="L91" i="5"/>
  <c r="L89" i="5"/>
  <c r="O90" i="5"/>
  <c r="O89" i="5"/>
  <c r="O92" i="5"/>
  <c r="K89" i="5"/>
  <c r="N89" i="5"/>
  <c r="L90" i="5"/>
  <c r="O91" i="5"/>
  <c r="K90" i="5"/>
  <c r="M88" i="5"/>
  <c r="M89" i="5"/>
  <c r="M91" i="5"/>
  <c r="N92" i="5"/>
  <c r="K88" i="5"/>
  <c r="K48" i="5"/>
  <c r="I8" i="1"/>
  <c r="L26" i="3"/>
  <c r="K10" i="1" s="1"/>
  <c r="M18" i="3"/>
  <c r="K8" i="1"/>
  <c r="E37" i="1" l="1"/>
  <c r="F37" i="1" s="1"/>
  <c r="F36" i="1" s="1"/>
  <c r="G78" i="5"/>
  <c r="F54" i="5"/>
  <c r="I18" i="1" a="1"/>
  <c r="I18" i="1" s="1"/>
  <c r="L26" i="2" s="1"/>
  <c r="M26" i="3"/>
  <c r="N26" i="3" s="1"/>
  <c r="M10" i="1" s="1"/>
  <c r="N18" i="3"/>
  <c r="M8" i="1" s="1"/>
  <c r="L8" i="1"/>
  <c r="L43" i="1" l="1"/>
  <c r="M46" i="1" s="1"/>
  <c r="G49" i="2" s="1"/>
  <c r="F39" i="1"/>
  <c r="F55" i="5"/>
  <c r="F56" i="5" s="1"/>
  <c r="O48" i="5"/>
  <c r="J18" i="1" a="1"/>
  <c r="J18" i="1" s="1"/>
  <c r="M26" i="2" s="1"/>
  <c r="L10" i="1"/>
  <c r="G79" i="2" l="1"/>
  <c r="G54" i="5"/>
  <c r="G61" i="5"/>
  <c r="G63" i="5" s="1"/>
  <c r="N54" i="5" s="1"/>
  <c r="N56" i="5" s="1"/>
  <c r="N61" i="5" s="1"/>
  <c r="G55" i="5"/>
  <c r="G56" i="5" s="1"/>
  <c r="G79" i="5"/>
  <c r="C87" i="5" s="1"/>
  <c r="K18" i="1" a="1"/>
  <c r="K18" i="1" s="1"/>
  <c r="N26" i="2" s="1"/>
  <c r="F27" i="1" a="1"/>
  <c r="F27" i="1" s="1"/>
  <c r="N63" i="2" l="1"/>
  <c r="N79" i="2" s="1"/>
  <c r="M18" i="1" a="1"/>
  <c r="M18" i="1" s="1"/>
  <c r="P26" i="2" s="1"/>
  <c r="L18" i="1" a="1"/>
  <c r="L18" i="1" s="1"/>
  <c r="O26" i="2" s="1"/>
  <c r="C103" i="2"/>
  <c r="C92" i="2"/>
  <c r="C93" i="2" s="1"/>
  <c r="J91" i="2"/>
  <c r="J103" i="2" s="1"/>
  <c r="C90" i="2"/>
  <c r="J90" i="2" s="1"/>
  <c r="J102" i="2" s="1"/>
  <c r="G81" i="2"/>
  <c r="N78" i="2"/>
  <c r="G78" i="2"/>
  <c r="K39" i="2"/>
  <c r="L39" i="2" s="1"/>
  <c r="M39" i="2" s="1"/>
  <c r="N39" i="2" s="1"/>
  <c r="O39" i="2" s="1"/>
  <c r="P39" i="2" s="1"/>
  <c r="J39" i="2"/>
  <c r="O25" i="2"/>
  <c r="N25" i="2"/>
  <c r="M25" i="2"/>
  <c r="L25" i="2"/>
  <c r="J9" i="2"/>
  <c r="I9" i="2"/>
  <c r="L4" i="2"/>
  <c r="M4" i="2" s="1"/>
  <c r="N4" i="2" s="1"/>
  <c r="O4" i="2" s="1"/>
  <c r="I4" i="2"/>
  <c r="H4" i="2" s="1"/>
  <c r="M6" i="1" a="1"/>
  <c r="M6" i="1" s="1"/>
  <c r="P9" i="2" s="1"/>
  <c r="L6" i="1" a="1"/>
  <c r="L6" i="1" s="1"/>
  <c r="O9" i="2" s="1"/>
  <c r="K6" i="1" a="1"/>
  <c r="K6" i="1" s="1"/>
  <c r="N9" i="2" s="1"/>
  <c r="J6" i="1" a="1"/>
  <c r="J6" i="1" s="1"/>
  <c r="M9" i="2" s="1"/>
  <c r="I6" i="1" a="1"/>
  <c r="I6" i="1" s="1"/>
  <c r="L9" i="2" s="1"/>
  <c r="H6" i="1" a="1"/>
  <c r="H6" i="1" s="1"/>
  <c r="K9" i="2" s="1"/>
  <c r="K10" i="2" s="1"/>
  <c r="I4" i="1"/>
  <c r="J4" i="1" s="1"/>
  <c r="K4" i="1" s="1"/>
  <c r="L4" i="1" s="1"/>
  <c r="L10" i="2" l="1"/>
  <c r="N78" i="5"/>
  <c r="N63" i="5"/>
  <c r="E88" i="2"/>
  <c r="E100" i="2" s="1"/>
  <c r="C89" i="2"/>
  <c r="J89" i="2" s="1"/>
  <c r="J101" i="2" s="1"/>
  <c r="C101" i="2"/>
  <c r="C102" i="2"/>
  <c r="C105" i="2"/>
  <c r="J93" i="2"/>
  <c r="J105" i="2" s="1"/>
  <c r="J92" i="2"/>
  <c r="J104" i="2" s="1"/>
  <c r="C104" i="2"/>
  <c r="H104" i="2"/>
  <c r="O92" i="2" s="1"/>
  <c r="O104" i="2" s="1"/>
  <c r="H105" i="2"/>
  <c r="O93" i="2" s="1"/>
  <c r="O105" i="2" s="1"/>
  <c r="D103" i="2"/>
  <c r="K91" i="2" s="1"/>
  <c r="K103" i="2" s="1"/>
  <c r="D105" i="2"/>
  <c r="K93" i="2" s="1"/>
  <c r="K105" i="2" s="1"/>
  <c r="K89" i="2"/>
  <c r="K101" i="2" s="1"/>
  <c r="G103" i="2"/>
  <c r="N91" i="2" s="1"/>
  <c r="N103" i="2" s="1"/>
  <c r="E104" i="2"/>
  <c r="L92" i="2" s="1"/>
  <c r="L104" i="2" s="1"/>
  <c r="G104" i="2"/>
  <c r="N92" i="2" s="1"/>
  <c r="N104" i="2" s="1"/>
  <c r="E101" i="2"/>
  <c r="L89" i="2" s="1"/>
  <c r="L101" i="2" s="1"/>
  <c r="E105" i="2"/>
  <c r="L93" i="2" s="1"/>
  <c r="L105" i="2" s="1"/>
  <c r="G105" i="2"/>
  <c r="N93" i="2" s="1"/>
  <c r="N105" i="2" s="1"/>
  <c r="F102" i="2"/>
  <c r="M90" i="2" s="1"/>
  <c r="M102" i="2" s="1"/>
  <c r="D104" i="2"/>
  <c r="K92" i="2" s="1"/>
  <c r="K104" i="2" s="1"/>
  <c r="F103" i="2"/>
  <c r="M91" i="2" s="1"/>
  <c r="M103" i="2" s="1"/>
  <c r="H103" i="2"/>
  <c r="O91" i="2" s="1"/>
  <c r="O103" i="2" s="1"/>
  <c r="F101" i="2"/>
  <c r="M89" i="2" s="1"/>
  <c r="M101" i="2" s="1"/>
  <c r="F105" i="2"/>
  <c r="M93" i="2" s="1"/>
  <c r="M105" i="2" s="1"/>
  <c r="D102" i="2"/>
  <c r="K90" i="2" s="1"/>
  <c r="K102" i="2" s="1"/>
  <c r="G102" i="2"/>
  <c r="N90" i="2" s="1"/>
  <c r="N102" i="2" s="1"/>
  <c r="H102" i="2"/>
  <c r="O90" i="2" s="1"/>
  <c r="O102" i="2" s="1"/>
  <c r="E103" i="2"/>
  <c r="L91" i="2" s="1"/>
  <c r="L103" i="2" s="1"/>
  <c r="F104" i="2"/>
  <c r="M92" i="2" s="1"/>
  <c r="M104" i="2" s="1"/>
  <c r="G101" i="2"/>
  <c r="N89" i="2" s="1"/>
  <c r="N101" i="2" s="1"/>
  <c r="H101" i="2"/>
  <c r="O89" i="2" s="1"/>
  <c r="O101" i="2" s="1"/>
  <c r="E102" i="2"/>
  <c r="L90" i="2" s="1"/>
  <c r="L102" i="2" s="1"/>
  <c r="K13" i="2"/>
  <c r="K16" i="2" s="1"/>
  <c r="K23" i="2"/>
  <c r="N104" i="5" l="1"/>
  <c r="K100" i="5"/>
  <c r="O104" i="5"/>
  <c r="O101" i="5"/>
  <c r="O100" i="5"/>
  <c r="L103" i="5"/>
  <c r="K103" i="5"/>
  <c r="L104" i="5"/>
  <c r="K102" i="5"/>
  <c r="O102" i="5"/>
  <c r="L101" i="5"/>
  <c r="N103" i="5"/>
  <c r="K104" i="5"/>
  <c r="M103" i="5"/>
  <c r="M101" i="5"/>
  <c r="M104" i="5"/>
  <c r="N100" i="5"/>
  <c r="O103" i="5"/>
  <c r="L102" i="5"/>
  <c r="N101" i="5"/>
  <c r="K101" i="5"/>
  <c r="M100" i="5"/>
  <c r="N102" i="5"/>
  <c r="L100" i="5"/>
  <c r="M102" i="5"/>
  <c r="D88" i="2"/>
  <c r="D100" i="2" s="1"/>
  <c r="G88" i="2"/>
  <c r="F100" i="2"/>
  <c r="L13" i="2"/>
  <c r="L16" i="2" s="1"/>
  <c r="L23" i="2"/>
  <c r="M10" i="2"/>
  <c r="H88" i="2" l="1"/>
  <c r="H100" i="2" s="1"/>
  <c r="G100" i="2"/>
  <c r="K88" i="2" a="1"/>
  <c r="M23" i="2"/>
  <c r="N10" i="2"/>
  <c r="M13" i="2"/>
  <c r="M16" i="2" s="1"/>
  <c r="L100" i="2" l="1"/>
  <c r="N100" i="2"/>
  <c r="M100" i="2"/>
  <c r="O100" i="2"/>
  <c r="K88" i="2"/>
  <c r="K100" i="2" s="1"/>
  <c r="N13" i="2"/>
  <c r="N16" i="2" s="1"/>
  <c r="O10" i="2"/>
  <c r="N23" i="2"/>
  <c r="P10" i="2" l="1"/>
  <c r="O23" i="2"/>
  <c r="O13" i="2"/>
  <c r="O16" i="2" s="1"/>
  <c r="P13" i="2" l="1"/>
  <c r="P16" i="2" s="1"/>
  <c r="K24" i="2" s="1" a="1"/>
  <c r="O27" i="2" s="1"/>
  <c r="O43" i="2" s="1"/>
  <c r="O47" i="2" s="1"/>
  <c r="P23" i="2"/>
  <c r="K24" i="2" l="1"/>
  <c r="K27" i="2" s="1"/>
  <c r="K43" i="2" s="1"/>
  <c r="K47" i="2" s="1"/>
  <c r="L27" i="2"/>
  <c r="L43" i="2" s="1"/>
  <c r="L47" i="2" s="1"/>
  <c r="L49" i="2" s="1"/>
  <c r="M27" i="2"/>
  <c r="M43" i="2" s="1"/>
  <c r="M47" i="2" s="1"/>
  <c r="M49" i="2" s="1"/>
  <c r="N27" i="2"/>
  <c r="N43" i="2" s="1"/>
  <c r="N47" i="2" s="1"/>
  <c r="N49" i="2" s="1"/>
  <c r="P27" i="2"/>
  <c r="P43" i="2" s="1"/>
  <c r="O48" i="2" l="1"/>
  <c r="F56" i="2" s="1"/>
  <c r="F55" i="2"/>
  <c r="K49" i="2"/>
  <c r="O49" i="2" l="1"/>
  <c r="F57" i="2"/>
  <c r="G80" i="2" l="1"/>
  <c r="C88" i="2" s="1"/>
  <c r="G62" i="2"/>
  <c r="G64" i="2" s="1"/>
  <c r="G56" i="2"/>
  <c r="G55" i="2"/>
  <c r="N55" i="2" l="1"/>
  <c r="N57" i="2" s="1"/>
  <c r="N62" i="2" s="1"/>
  <c r="N64" i="2" s="1"/>
  <c r="G5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<sst xmlns="http://schemas.openxmlformats.org/spreadsheetml/2006/main" count="379" uniqueCount="100">
  <si>
    <t>Label</t>
  </si>
  <si>
    <t>Value</t>
  </si>
  <si>
    <t>Current Share Price</t>
  </si>
  <si>
    <t>Total Debt</t>
  </si>
  <si>
    <t>Best</t>
  </si>
  <si>
    <t>Base</t>
  </si>
  <si>
    <t>Worst</t>
  </si>
  <si>
    <t>WACC</t>
  </si>
  <si>
    <t>Unlevered Free Cash Flow Schedule</t>
  </si>
  <si>
    <t>All figures in USD thousands unless stated</t>
  </si>
  <si>
    <t>Term</t>
  </si>
  <si>
    <t>PROFIT METRICS</t>
  </si>
  <si>
    <t>EBITDA Growth</t>
  </si>
  <si>
    <t>EBITDA</t>
  </si>
  <si>
    <t>Tax Depreciation</t>
  </si>
  <si>
    <t>Operating Profit</t>
  </si>
  <si>
    <t>Tax Rate</t>
  </si>
  <si>
    <t>Current Tax</t>
  </si>
  <si>
    <t>UNLEVERED FREE CASH FLOW</t>
  </si>
  <si>
    <t>Current Taxes</t>
  </si>
  <si>
    <r>
      <t xml:space="preserve">Capital Expenditure </t>
    </r>
    <r>
      <rPr>
        <vertAlign val="superscript"/>
        <sz val="9"/>
        <rFont val="Open Sans"/>
        <family val="2"/>
      </rPr>
      <t>1</t>
    </r>
  </si>
  <si>
    <t>Cash from Working Capital</t>
  </si>
  <si>
    <t>Unlevered Free Cash Flow</t>
  </si>
  <si>
    <t xml:space="preserve">Capital expenditure has been set equal to tax depreciation. </t>
  </si>
  <si>
    <t>Discounted Cash Flow Schedule</t>
  </si>
  <si>
    <t>Valuation</t>
  </si>
  <si>
    <t>Discrete Forecast</t>
  </si>
  <si>
    <t>(YY-MM-DD)</t>
  </si>
  <si>
    <t>ASSUMPTIONS</t>
  </si>
  <si>
    <t>CASH FLOW PROFILES</t>
  </si>
  <si>
    <t>First Year of Forecast</t>
  </si>
  <si>
    <t>Terminal Growth Rate</t>
  </si>
  <si>
    <r>
      <t xml:space="preserve">Terminal Value </t>
    </r>
    <r>
      <rPr>
        <vertAlign val="superscript"/>
        <sz val="9"/>
        <rFont val="Open Sans"/>
        <family val="2"/>
      </rPr>
      <t>2</t>
    </r>
  </si>
  <si>
    <r>
      <t xml:space="preserve">WACC </t>
    </r>
    <r>
      <rPr>
        <vertAlign val="superscript"/>
        <sz val="9"/>
        <rFont val="Open Sans"/>
        <family val="2"/>
      </rPr>
      <t>1</t>
    </r>
  </si>
  <si>
    <t>Total Cash Flow</t>
  </si>
  <si>
    <t>ENTERPRISE VALUE</t>
  </si>
  <si>
    <t>EQUITY VALUE PER SHARE</t>
  </si>
  <si>
    <t>PV of Discrete</t>
  </si>
  <si>
    <t>Equity Value</t>
  </si>
  <si>
    <t>PV of Terminal</t>
  </si>
  <si>
    <t>Shares Outstanding</t>
  </si>
  <si>
    <t>(FD 000)</t>
  </si>
  <si>
    <t>Enterprise Value</t>
  </si>
  <si>
    <t>(USD/sh)</t>
  </si>
  <si>
    <t>EQUITY VALUE</t>
  </si>
  <si>
    <t>PREMIUM (DISCOUNT)</t>
  </si>
  <si>
    <t>Less: Net Debt</t>
  </si>
  <si>
    <t>Current Price</t>
  </si>
  <si>
    <t>Premium (Discount)</t>
  </si>
  <si>
    <t xml:space="preserve">WACC = Weighted Average Cost of Capital. </t>
  </si>
  <si>
    <t xml:space="preserve">The growing perpetuity method was used to calculate the terminal value. </t>
  </si>
  <si>
    <t>Sensitivity Analysis</t>
  </si>
  <si>
    <r>
      <t xml:space="preserve">WACC </t>
    </r>
    <r>
      <rPr>
        <vertAlign val="superscript"/>
        <sz val="9"/>
        <color rgb="FF000000"/>
        <rFont val="Open Sans"/>
        <family val="2"/>
      </rPr>
      <t>1</t>
    </r>
  </si>
  <si>
    <t>($/sh)</t>
  </si>
  <si>
    <t>Net Debt</t>
  </si>
  <si>
    <t>PREMIUM (DISCOUNT) TO CURRENT PRICE</t>
  </si>
  <si>
    <t xml:space="preserve">This table requires the workbook calculation to be set to automatic to update. </t>
  </si>
  <si>
    <t xml:space="preserve"> </t>
  </si>
  <si>
    <r>
      <t xml:space="preserve">ENTERPRISE VALUE </t>
    </r>
    <r>
      <rPr>
        <b/>
        <vertAlign val="superscript"/>
        <sz val="9"/>
        <color rgb="FF000000"/>
        <rFont val="Open Sans"/>
        <family val="2"/>
      </rPr>
      <t>2</t>
    </r>
  </si>
  <si>
    <t xml:space="preserve">Tax Depreciation </t>
  </si>
  <si>
    <t>Drivers</t>
  </si>
  <si>
    <t>Driver Switch</t>
  </si>
  <si>
    <t xml:space="preserve">Base </t>
  </si>
  <si>
    <t>Start</t>
  </si>
  <si>
    <t>End</t>
  </si>
  <si>
    <t xml:space="preserve">Growth variables </t>
  </si>
  <si>
    <t>Case and definition</t>
  </si>
  <si>
    <t>Graph of Different Growths</t>
  </si>
  <si>
    <t>% Growths for EBITDA</t>
  </si>
  <si>
    <t>EBITDA Variables</t>
  </si>
  <si>
    <t>Other Inputs</t>
  </si>
  <si>
    <t>Capital Structure</t>
  </si>
  <si>
    <t>Cost of Debt</t>
  </si>
  <si>
    <t>Current</t>
  </si>
  <si>
    <t>Target</t>
  </si>
  <si>
    <t>Pre-Tax Cost of Debt</t>
  </si>
  <si>
    <t>Market Capitalization</t>
  </si>
  <si>
    <t>After-Tax Cost of Debt</t>
  </si>
  <si>
    <t>Total Capitalization</t>
  </si>
  <si>
    <t>Debt / Equity</t>
  </si>
  <si>
    <t>Weighted Average Cost of Capital</t>
  </si>
  <si>
    <t>Weight</t>
  </si>
  <si>
    <t>Cost</t>
  </si>
  <si>
    <t>Debt Capital</t>
  </si>
  <si>
    <t>Equity Capital</t>
  </si>
  <si>
    <t>All figures in USD Millions unless stated</t>
  </si>
  <si>
    <t>Net Debt (Net cash)</t>
  </si>
  <si>
    <t>Outstanding Shares</t>
  </si>
  <si>
    <t>Cash From WC</t>
  </si>
  <si>
    <t>% Growths for Cash from WC</t>
  </si>
  <si>
    <t xml:space="preserve">Cost of Equity </t>
  </si>
  <si>
    <t>Years</t>
  </si>
  <si>
    <t>Increase</t>
  </si>
  <si>
    <t>Fiscal Year</t>
  </si>
  <si>
    <t>EBITDA ($B)</t>
  </si>
  <si>
    <t>End Date</t>
  </si>
  <si>
    <t>Change in Working Capital ($M)</t>
  </si>
  <si>
    <r>
      <t xml:space="preserve">Equity Value </t>
    </r>
    <r>
      <rPr>
        <vertAlign val="superscript"/>
        <sz val="10"/>
        <rFont val="Open Sans"/>
        <family val="2"/>
      </rPr>
      <t>3</t>
    </r>
  </si>
  <si>
    <t xml:space="preserve">'The actual equity value for the year of 2018 had a High of $7.32/share </t>
  </si>
  <si>
    <t>This was the share price in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</si>
</sst>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164" formatCode="0&quot;FY&quot;"/>
    <numFmt numFmtId="165" formatCode="0.0%"/>
    <numFmt numFmtId="166" formatCode="0&quot;A&quot;"/>
    <numFmt numFmtId="167" formatCode="_(#,##0_)_%;\(#,##0\)_%;_(&quot;–&quot;_)_%;_(@_)_%"/>
    <numFmt numFmtId="168" formatCode="0&quot;F&quot;"/>
    <numFmt numFmtId="169" formatCode="_(#,##0.0%_);\(#,##0.0%\);_(&quot;–&quot;_)_%;_(@_)_%"/>
    <numFmt numFmtId="170" formatCode="_(#,##0_);\(#,##0\);_(&quot;–&quot;_);_(@_)"/>
    <numFmt numFmtId="171" formatCode="_(#,##0%_);\(#,##0%\);_(&quot;–&quot;_)_%;_(@_)_%"/>
    <numFmt numFmtId="172" formatCode="#,##0_);[Red]\(#,##0\);\-"/>
    <numFmt numFmtId="173" formatCode="#,##0_);\(#,##0\);\-"/>
    <numFmt numFmtId="174" formatCode="@\⁽\¹\⁾"/>
    <numFmt numFmtId="175" formatCode="0&quot;E&quot;"/>
    <numFmt numFmtId="176" formatCode="yy/mm/dd"/>
    <numFmt numFmtId="177" formatCode="0000"/>
    <numFmt numFmtId="178" formatCode="[=1]&quot;☑️&quot;_);[=0]&quot;⬜&quot;_)"/>
    <numFmt numFmtId="179" formatCode="_(#,##0.00_);\(#,##0.00\);_(&quot;–&quot;_);_(@_)"/>
    <numFmt numFmtId="180" formatCode="@\⁽\²\⁾"/>
    <numFmt numFmtId="181" formatCode="#,##0.00_);\(#,##0.00\);\-"/>
    <numFmt numFmtId="182" formatCode="_-* #,##0.00_-;\-* #,##0.00_-;_-* &quot;-&quot;??_-;_-@_-"/>
    <numFmt numFmtId="183" formatCode="@\⁽\³\⁾"/>
    <numFmt numFmtId="184" formatCode="@\⁽\⁴\⁾"/>
    <numFmt numFmtId="185" formatCode="_(#,##0.00%_);\(#,##0.00%\);_(&quot;–&quot;_)_%;_(@_)_%"/>
  </numFmts>
  <fonts count="57" x14ac:knownFonts="1">
    <font>
      <sz val="11"/>
      <color theme="1"/>
      <name val="Calibri"/>
      <family val="2"/>
      <scheme val="minor"/>
    </font>
    <font>
      <sz val="10"/>
      <color theme="1"/>
      <name val="Open Sans"/>
      <family val="2"/>
    </font>
    <font>
      <sz val="10"/>
      <color theme="1"/>
      <name val="Open Sans"/>
      <family val="2"/>
    </font>
    <font>
      <sz val="10"/>
      <color theme="1"/>
      <name val="Open Sans"/>
      <family val="2"/>
    </font>
    <font>
      <sz val="10"/>
      <color theme="1"/>
      <name val="Open Sans"/>
      <family val="2"/>
    </font>
    <font>
      <sz val="10"/>
      <color theme="1"/>
      <name val="Open Sans"/>
      <family val="2"/>
    </font>
    <font>
      <sz val="10"/>
      <color theme="1"/>
      <name val="Open Sans"/>
      <family val="2"/>
    </font>
    <font>
      <sz val="11"/>
      <color theme="1"/>
      <name val="Calibri"/>
      <family val="2"/>
      <scheme val="minor"/>
    </font>
    <font>
      <sz val="11"/>
      <color theme="1"/>
      <name val="Calibri"/>
      <family val="2"/>
    </font>
    <font>
      <b/>
      <sz val="11"/>
      <color theme="1"/>
      <name val="Calibri"/>
      <family val="2"/>
      <scheme val="minor"/>
    </font>
    <font>
      <b/>
      <sz val="14"/>
      <color rgb="FF3271D2"/>
      <name val="Open Sans"/>
      <family val="2"/>
    </font>
    <font>
      <b/>
      <i/>
      <sz val="10"/>
      <color rgb="FF3271D2"/>
      <name val="Open Sans"/>
      <family val="2"/>
    </font>
    <font>
      <i/>
      <sz val="9"/>
      <name val="Open Sans"/>
      <family val="2"/>
    </font>
    <font>
      <b/>
      <sz val="10"/>
      <name val="Open Sans"/>
      <family val="2"/>
    </font>
    <font>
      <b/>
      <sz val="10"/>
      <color rgb="FF000000"/>
      <name val="Open Sans"/>
      <family val="2"/>
    </font>
    <font>
      <sz val="10"/>
      <name val="Open Sans"/>
      <family val="2"/>
    </font>
    <font>
      <sz val="10"/>
      <color rgb="FF000000"/>
      <name val="Open Sans"/>
      <family val="2"/>
    </font>
    <font>
      <sz val="10"/>
      <color rgb="FF3271D2"/>
      <name val="Open Sans"/>
      <family val="2"/>
    </font>
    <font>
      <sz val="11"/>
      <name val="Open Sans"/>
      <family val="2"/>
    </font>
    <font>
      <b/>
      <sz val="11"/>
      <name val="Open Sans"/>
      <family val="2"/>
    </font>
    <font>
      <i/>
      <sz val="8"/>
      <name val="Open Sans"/>
      <family val="2"/>
    </font>
    <font>
      <vertAlign val="superscript"/>
      <sz val="9"/>
      <name val="Open Sans"/>
      <family val="2"/>
    </font>
    <font>
      <sz val="11"/>
      <color rgb="FF000000"/>
      <name val="Open Sans"/>
      <family val="2"/>
    </font>
    <font>
      <sz val="9"/>
      <name val="Open Sans"/>
      <family val="2"/>
    </font>
    <font>
      <b/>
      <sz val="14"/>
      <color rgb="FF0000FF"/>
      <name val="Open Sans"/>
      <family val="2"/>
    </font>
    <font>
      <b/>
      <sz val="9"/>
      <color rgb="FF000000"/>
      <name val="Open Sans"/>
      <family val="2"/>
    </font>
    <font>
      <sz val="8"/>
      <name val="Open Sans"/>
      <family val="2"/>
    </font>
    <font>
      <i/>
      <sz val="10"/>
      <color rgb="FF000000"/>
      <name val="Open Sans"/>
      <family val="2"/>
    </font>
    <font>
      <sz val="11"/>
      <color theme="1"/>
      <name val="Arial Narrow"/>
      <family val="2"/>
    </font>
    <font>
      <sz val="8"/>
      <color rgb="FF947131"/>
      <name val="Open Sans"/>
      <family val="2"/>
    </font>
    <font>
      <vertAlign val="superscript"/>
      <sz val="9"/>
      <color rgb="FF000000"/>
      <name val="Open Sans"/>
      <family val="2"/>
    </font>
    <font>
      <i/>
      <sz val="10"/>
      <color rgb="FF3271D2"/>
      <name val="Open Sans"/>
      <family val="2"/>
    </font>
    <font>
      <sz val="10"/>
      <color rgb="FFFFFFFF"/>
      <name val="Open Sans"/>
      <family val="2"/>
    </font>
    <font>
      <b/>
      <sz val="10"/>
      <color rgb="FFFFFFFF"/>
      <name val="Open Sans"/>
      <family val="2"/>
    </font>
    <font>
      <sz val="14"/>
      <color rgb="FF000000"/>
      <name val="Open Sans"/>
      <family val="2"/>
    </font>
    <font>
      <sz val="11"/>
      <color rgb="FF000000"/>
      <name val="Calibri"/>
      <family val="2"/>
    </font>
    <font>
      <b/>
      <vertAlign val="superscript"/>
      <sz val="9"/>
      <color rgb="FF000000"/>
      <name val="Open Sans"/>
      <family val="2"/>
    </font>
    <font>
      <sz val="9"/>
      <color rgb="FFFFFFFF"/>
      <name val="Open Sans"/>
      <family val="2"/>
    </font>
    <font>
      <b/>
      <sz val="16"/>
      <color theme="4" tint="-0.249977111117893"/>
      <name val="Calibri"/>
      <family val="2"/>
      <scheme val="minor"/>
    </font>
    <font>
      <b/>
      <sz val="10"/>
      <color theme="0"/>
      <name val="Open Sans"/>
      <family val="2"/>
    </font>
    <font>
      <b/>
      <sz val="10"/>
      <color theme="1"/>
      <name val="Open Sans"/>
      <family val="2"/>
    </font>
    <font>
      <b/>
      <sz val="18"/>
      <color rgb="FF0070C0"/>
      <name val="Calibri"/>
      <family val="2"/>
      <scheme val="minor"/>
    </font>
    <font>
      <i/>
      <sz val="11"/>
      <color theme="1"/>
      <name val="Calibri"/>
      <family val="2"/>
      <scheme val="minor"/>
    </font>
    <font>
      <b/>
      <sz val="11"/>
      <color theme="4" tint="-0.249977111117893"/>
      <name val="Calibri"/>
      <family val="2"/>
      <scheme val="minor"/>
    </font>
    <font>
      <sz val="11"/>
      <color theme="1"/>
      <name val="Open Sans"/>
      <family val="2"/>
    </font>
    <font>
      <sz val="11"/>
      <color rgb="FF947131"/>
      <name val="Open Sans"/>
      <family val="2"/>
    </font>
    <font>
      <i/>
      <sz val="10"/>
      <color theme="1"/>
      <name val="Open Sans"/>
      <family val="2"/>
    </font>
    <font>
      <i/>
      <sz val="11"/>
      <color theme="1"/>
      <name val="Open Sans"/>
      <family val="2"/>
    </font>
    <font>
      <sz val="9"/>
      <color rgb="FF000000"/>
      <name val="Open Sans"/>
      <family val="2"/>
    </font>
    <font>
      <i/>
      <sz val="9"/>
      <color rgb="FF000000"/>
      <name val="Open Sans"/>
      <family val="2"/>
    </font>
    <font>
      <sz val="10"/>
      <color theme="0"/>
      <name val="Open Sans"/>
      <family val="2"/>
    </font>
    <font>
      <sz val="10"/>
      <color theme="8"/>
      <name val="Open Sans"/>
      <family val="2"/>
    </font>
    <font>
      <sz val="11"/>
      <color theme="0"/>
      <name val="Calibri"/>
      <family val="2"/>
      <scheme val="minor"/>
    </font>
    <font>
      <sz val="14"/>
      <color rgb="FF111827"/>
      <name val="Arial"/>
      <family val="2"/>
    </font>
    <font>
      <sz val="10"/>
      <color theme="4" tint="-0.249977111117893"/>
      <name val="Open Sans"/>
      <family val="2"/>
    </font>
    <font>
      <vertAlign val="superscript"/>
      <sz val="10"/>
      <name val="Open Sans"/>
      <family val="2"/>
    </font>
    <font>
      <sz val="11"/>
      <color theme="0"/>
      <name val="Open Sans"/>
      <family val="2"/>
    </font>
  </fonts>
  <fills count="8">
    <fill>
      <patternFill patternType="none"/>
    </fill>
    <fill>
      <patternFill patternType="gray125"/>
    </fill>
    <fill>
      <patternFill patternType="solid">
        <fgColor rgb="FFE7F2FF"/>
        <bgColor rgb="FF000000"/>
      </patternFill>
    </fill>
    <fill>
      <patternFill patternType="solid">
        <fgColor rgb="FFF6F6F6"/>
        <bgColor rgb="FF000000"/>
      </patternFill>
    </fill>
    <fill>
      <patternFill patternType="solid">
        <fgColor rgb="FFFFFFFF"/>
        <bgColor rgb="FF000000"/>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2F9FF"/>
        <bgColor indexed="64"/>
      </patternFill>
    </fill>
  </fills>
  <borders count="3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rgb="FF3271D2"/>
      </bottom>
      <diagonal/>
    </border>
    <border>
      <left/>
      <right/>
      <top style="thin">
        <color rgb="FF3271D2"/>
      </top>
      <bottom style="medium">
        <color rgb="FF3271D2"/>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indexed="64"/>
      </top>
      <bottom style="medium">
        <color indexed="64"/>
      </bottom>
      <diagonal/>
    </border>
    <border>
      <left style="thin">
        <color rgb="FF3271D2"/>
      </left>
      <right/>
      <top style="thin">
        <color rgb="FF3271D2"/>
      </top>
      <bottom/>
      <diagonal/>
    </border>
    <border>
      <left/>
      <right/>
      <top style="thin">
        <color rgb="FF3271D2"/>
      </top>
      <bottom/>
      <diagonal/>
    </border>
    <border>
      <left style="thin">
        <color rgb="FF3271D2"/>
      </left>
      <right style="thin">
        <color rgb="FF3271D2"/>
      </right>
      <top style="thin">
        <color rgb="FF3271D2"/>
      </top>
      <bottom/>
      <diagonal/>
    </border>
    <border>
      <left style="thin">
        <color rgb="FF3271D2"/>
      </left>
      <right/>
      <top/>
      <bottom/>
      <diagonal/>
    </border>
    <border>
      <left/>
      <right/>
      <top style="medium">
        <color rgb="FF3271D2"/>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style="thin">
        <color rgb="FF000000"/>
      </left>
      <right style="thin">
        <color rgb="FF000000"/>
      </right>
      <top style="thin">
        <color rgb="FF000000"/>
      </top>
      <bottom style="thin">
        <color rgb="FF000000"/>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bottom style="thin">
        <color rgb="FF3271D2"/>
      </bottom>
      <diagonal/>
    </border>
    <border>
      <left/>
      <right/>
      <top style="thin">
        <color theme="8"/>
      </top>
      <bottom/>
      <diagonal/>
    </border>
    <border>
      <left/>
      <right/>
      <top/>
      <bottom style="thin">
        <color theme="8"/>
      </bottom>
      <diagonal/>
    </border>
    <border>
      <left/>
      <right/>
      <top style="thin">
        <color auto="1"/>
      </top>
      <bottom/>
      <diagonal/>
    </border>
  </borders>
  <cellStyleXfs count="4">
    <xf numFmtId="0" fontId="0" fillId="0" borderId="0"/>
    <xf numFmtId="9" fontId="7" fillId="0" borderId="0" applyFont="0" applyFill="0" applyBorder="0" applyAlignment="0" applyProtection="0"/>
    <xf numFmtId="0" fontId="28" fillId="0" borderId="0"/>
    <xf numFmtId="182" fontId="7" fillId="0" borderId="0" applyFont="0" applyFill="0" applyBorder="0" applyAlignment="0" applyProtection="0"/>
  </cellStyleXfs>
  <cellXfs count="292">
    <xf numFmtId="0" fontId="0" fillId="0" borderId="0" xfId="0"/>
    <xf numFmtId="165" fontId="0" fillId="0" borderId="0" xfId="1" applyNumberFormat="1" applyFont="1"/>
    <xf numFmtId="0" fontId="9" fillId="0" borderId="0" xfId="0" applyFont="1"/>
    <xf numFmtId="0" fontId="0" fillId="0" borderId="0" xfId="0" applyAlignment="1">
      <alignment horizontal="left" indent="1"/>
    </xf>
    <xf numFmtId="10" fontId="0" fillId="0" borderId="0" xfId="1" applyNumberFormat="1" applyFont="1"/>
    <xf numFmtId="37" fontId="10" fillId="2" borderId="0" xfId="0" applyNumberFormat="1" applyFont="1" applyFill="1" applyAlignment="1">
      <alignment vertical="center"/>
    </xf>
    <xf numFmtId="0" fontId="11" fillId="2" borderId="0" xfId="0" applyFont="1" applyFill="1" applyAlignment="1">
      <alignment horizontal="right" vertical="center"/>
    </xf>
    <xf numFmtId="37" fontId="10" fillId="0" borderId="0" xfId="0" applyNumberFormat="1" applyFont="1" applyAlignment="1">
      <alignment vertical="center"/>
    </xf>
    <xf numFmtId="0" fontId="11" fillId="0" borderId="0" xfId="0" applyFont="1" applyAlignment="1">
      <alignment horizontal="right" vertical="center"/>
    </xf>
    <xf numFmtId="167" fontId="12" fillId="0" borderId="0" xfId="0" applyNumberFormat="1" applyFont="1" applyAlignment="1">
      <alignment vertical="center"/>
    </xf>
    <xf numFmtId="166" fontId="13" fillId="0" borderId="0" xfId="0" applyNumberFormat="1" applyFont="1" applyAlignment="1">
      <alignment horizontal="right"/>
    </xf>
    <xf numFmtId="166" fontId="13" fillId="0" borderId="4" xfId="0" applyNumberFormat="1" applyFont="1" applyBorder="1" applyAlignment="1">
      <alignment horizontal="right" vertical="center"/>
    </xf>
    <xf numFmtId="168" fontId="14" fillId="0" borderId="5" xfId="0" applyNumberFormat="1" applyFont="1" applyBorder="1" applyAlignment="1">
      <alignment horizontal="right" vertical="center"/>
    </xf>
    <xf numFmtId="0" fontId="13" fillId="0" borderId="0" xfId="0" applyFont="1" applyAlignment="1">
      <alignment horizontal="left"/>
    </xf>
    <xf numFmtId="0" fontId="13" fillId="0" borderId="0" xfId="0" applyFont="1" applyAlignment="1">
      <alignment horizontal="center"/>
    </xf>
    <xf numFmtId="0" fontId="15" fillId="0" borderId="0" xfId="0" applyFont="1" applyAlignment="1">
      <alignment horizontal="left" indent="1"/>
    </xf>
    <xf numFmtId="169" fontId="16" fillId="0" borderId="6" xfId="0" applyNumberFormat="1" applyFont="1" applyBorder="1" applyAlignment="1">
      <alignment horizontal="right"/>
    </xf>
    <xf numFmtId="0" fontId="18" fillId="0" borderId="0" xfId="0" applyFont="1"/>
    <xf numFmtId="0" fontId="16" fillId="0" borderId="0" xfId="0" applyFont="1" applyAlignment="1">
      <alignment horizontal="left" indent="1"/>
    </xf>
    <xf numFmtId="0" fontId="15" fillId="0" borderId="0" xfId="0" applyFont="1"/>
    <xf numFmtId="170" fontId="17" fillId="0" borderId="0" xfId="0" applyNumberFormat="1" applyFont="1" applyAlignment="1">
      <alignment horizontal="right"/>
    </xf>
    <xf numFmtId="170" fontId="16" fillId="3" borderId="0" xfId="0" applyNumberFormat="1" applyFont="1" applyFill="1" applyAlignment="1">
      <alignment horizontal="right"/>
    </xf>
    <xf numFmtId="0" fontId="14" fillId="0" borderId="0" xfId="0" applyFont="1" applyAlignment="1">
      <alignment horizontal="left" indent="1"/>
    </xf>
    <xf numFmtId="170" fontId="13" fillId="0" borderId="0" xfId="0" applyNumberFormat="1" applyFont="1" applyAlignment="1">
      <alignment horizontal="right"/>
    </xf>
    <xf numFmtId="170" fontId="13" fillId="0" borderId="8" xfId="0" applyNumberFormat="1" applyFont="1" applyBorder="1" applyAlignment="1">
      <alignment horizontal="right"/>
    </xf>
    <xf numFmtId="170" fontId="15" fillId="3" borderId="0" xfId="0" applyNumberFormat="1" applyFont="1" applyFill="1" applyAlignment="1">
      <alignment horizontal="right"/>
    </xf>
    <xf numFmtId="171" fontId="16" fillId="0" borderId="6" xfId="0" applyNumberFormat="1" applyFont="1" applyBorder="1" applyAlignment="1">
      <alignment horizontal="right"/>
    </xf>
    <xf numFmtId="171" fontId="17" fillId="0" borderId="6" xfId="0" applyNumberFormat="1" applyFont="1" applyBorder="1" applyAlignment="1">
      <alignment horizontal="right"/>
    </xf>
    <xf numFmtId="171" fontId="17" fillId="0" borderId="8" xfId="0" applyNumberFormat="1" applyFont="1" applyBorder="1" applyAlignment="1">
      <alignment horizontal="right"/>
    </xf>
    <xf numFmtId="0" fontId="15" fillId="0" borderId="0" xfId="0" applyFont="1" applyAlignment="1">
      <alignment horizontal="center"/>
    </xf>
    <xf numFmtId="0" fontId="13" fillId="0" borderId="0" xfId="0" applyFont="1"/>
    <xf numFmtId="172" fontId="13" fillId="0" borderId="0" xfId="0" applyNumberFormat="1" applyFont="1"/>
    <xf numFmtId="0" fontId="19" fillId="0" borderId="0" xfId="0" applyFont="1"/>
    <xf numFmtId="0" fontId="13" fillId="0" borderId="6" xfId="0" applyFont="1" applyBorder="1"/>
    <xf numFmtId="0" fontId="15" fillId="0" borderId="6" xfId="0" applyFont="1" applyBorder="1" applyAlignment="1">
      <alignment horizontal="center"/>
    </xf>
    <xf numFmtId="0" fontId="15" fillId="0" borderId="6" xfId="0" applyFont="1" applyBorder="1"/>
    <xf numFmtId="172" fontId="13" fillId="0" borderId="6" xfId="0" applyNumberFormat="1" applyFont="1" applyBorder="1"/>
    <xf numFmtId="0" fontId="16" fillId="0" borderId="0" xfId="0" applyFont="1" applyAlignment="1">
      <alignment horizontal="left"/>
    </xf>
    <xf numFmtId="0" fontId="20" fillId="0" borderId="0" xfId="0" applyFont="1" applyAlignment="1">
      <alignment horizontal="center"/>
    </xf>
    <xf numFmtId="173" fontId="16" fillId="0" borderId="0" xfId="0" applyNumberFormat="1" applyFont="1"/>
    <xf numFmtId="166" fontId="13" fillId="0" borderId="0" xfId="0" applyNumberFormat="1" applyFont="1" applyAlignment="1">
      <alignment horizontal="center"/>
    </xf>
    <xf numFmtId="170" fontId="16" fillId="3" borderId="0" xfId="0" applyNumberFormat="1" applyFont="1" applyFill="1"/>
    <xf numFmtId="170" fontId="16" fillId="3" borderId="8" xfId="0" applyNumberFormat="1" applyFont="1" applyFill="1" applyBorder="1"/>
    <xf numFmtId="170" fontId="17" fillId="0" borderId="0" xfId="0" applyNumberFormat="1" applyFont="1"/>
    <xf numFmtId="170" fontId="14" fillId="3" borderId="10" xfId="0" applyNumberFormat="1" applyFont="1" applyFill="1" applyBorder="1"/>
    <xf numFmtId="0" fontId="22" fillId="0" borderId="0" xfId="0" applyFont="1"/>
    <xf numFmtId="168" fontId="13" fillId="0" borderId="0" xfId="0" applyNumberFormat="1" applyFont="1" applyAlignment="1">
      <alignment horizontal="right"/>
    </xf>
    <xf numFmtId="174" fontId="23" fillId="0" borderId="0" xfId="0" quotePrefix="1" applyNumberFormat="1" applyFont="1" applyAlignment="1">
      <alignment horizontal="right"/>
    </xf>
    <xf numFmtId="0" fontId="14" fillId="0" borderId="6" xfId="0" applyFont="1" applyBorder="1" applyAlignment="1">
      <alignment horizontal="left"/>
    </xf>
    <xf numFmtId="165" fontId="15" fillId="0" borderId="6" xfId="1" applyNumberFormat="1" applyFont="1" applyFill="1" applyBorder="1"/>
    <xf numFmtId="175" fontId="12" fillId="2" borderId="0" xfId="0" applyNumberFormat="1" applyFont="1" applyFill="1" applyAlignment="1">
      <alignment horizontal="centerContinuous"/>
    </xf>
    <xf numFmtId="175" fontId="13" fillId="2" borderId="0" xfId="0" applyNumberFormat="1" applyFont="1" applyFill="1" applyAlignment="1">
      <alignment horizontal="centerContinuous"/>
    </xf>
    <xf numFmtId="37" fontId="24" fillId="0" borderId="0" xfId="0" applyNumberFormat="1" applyFont="1" applyAlignment="1">
      <alignment vertical="center"/>
    </xf>
    <xf numFmtId="170" fontId="25" fillId="0" borderId="0" xfId="0" applyNumberFormat="1" applyFont="1" applyAlignment="1">
      <alignment horizontal="center"/>
    </xf>
    <xf numFmtId="170" fontId="25" fillId="0" borderId="11" xfId="0" applyNumberFormat="1" applyFont="1" applyBorder="1" applyAlignment="1">
      <alignment horizontal="center"/>
    </xf>
    <xf numFmtId="170" fontId="25" fillId="0" borderId="11" xfId="0" applyNumberFormat="1" applyFont="1" applyBorder="1" applyAlignment="1">
      <alignment horizontal="centerContinuous"/>
    </xf>
    <xf numFmtId="166" fontId="25" fillId="0" borderId="12" xfId="0" applyNumberFormat="1" applyFont="1" applyBorder="1" applyAlignment="1">
      <alignment horizontal="centerContinuous"/>
    </xf>
    <xf numFmtId="170" fontId="25" fillId="0" borderId="13" xfId="0" applyNumberFormat="1" applyFont="1" applyBorder="1" applyAlignment="1">
      <alignment horizontal="center"/>
    </xf>
    <xf numFmtId="0" fontId="26" fillId="0" borderId="0" xfId="0" applyFont="1" applyAlignment="1">
      <alignment horizontal="center"/>
    </xf>
    <xf numFmtId="0" fontId="26" fillId="0" borderId="11" xfId="0" applyFont="1" applyBorder="1" applyAlignment="1">
      <alignment horizontal="center"/>
    </xf>
    <xf numFmtId="0" fontId="26" fillId="0" borderId="12" xfId="0" applyFont="1" applyBorder="1" applyAlignment="1">
      <alignment horizontal="center"/>
    </xf>
    <xf numFmtId="0" fontId="26" fillId="0" borderId="13" xfId="0" applyFont="1" applyBorder="1" applyAlignment="1">
      <alignment horizontal="center"/>
    </xf>
    <xf numFmtId="176" fontId="17" fillId="0" borderId="0" xfId="0" applyNumberFormat="1" applyFont="1" applyAlignment="1">
      <alignment horizontal="center"/>
    </xf>
    <xf numFmtId="176" fontId="16" fillId="0" borderId="14" xfId="0" applyNumberFormat="1" applyFont="1" applyBorder="1" applyAlignment="1">
      <alignment horizontal="center"/>
    </xf>
    <xf numFmtId="176" fontId="16" fillId="3" borderId="0" xfId="0" applyNumberFormat="1" applyFont="1" applyFill="1" applyAlignment="1">
      <alignment horizontal="center"/>
    </xf>
    <xf numFmtId="173" fontId="14" fillId="0" borderId="0" xfId="0" applyNumberFormat="1" applyFont="1"/>
    <xf numFmtId="170" fontId="16" fillId="3" borderId="16" xfId="0" applyNumberFormat="1" applyFont="1" applyFill="1" applyBorder="1"/>
    <xf numFmtId="170" fontId="16" fillId="3" borderId="17" xfId="0" applyNumberFormat="1" applyFont="1" applyFill="1" applyBorder="1"/>
    <xf numFmtId="170" fontId="16" fillId="3" borderId="7" xfId="0" applyNumberFormat="1" applyFont="1" applyFill="1" applyBorder="1"/>
    <xf numFmtId="0" fontId="15" fillId="0" borderId="18" xfId="0" applyFont="1" applyBorder="1" applyAlignment="1">
      <alignment horizontal="left" indent="1"/>
    </xf>
    <xf numFmtId="177" fontId="17" fillId="0" borderId="20" xfId="1" applyNumberFormat="1" applyFont="1" applyFill="1" applyBorder="1" applyAlignment="1">
      <alignment horizontal="centerContinuous"/>
    </xf>
    <xf numFmtId="170" fontId="16" fillId="3" borderId="18" xfId="0" applyNumberFormat="1" applyFont="1" applyFill="1" applyBorder="1" applyAlignment="1">
      <alignment horizontal="right"/>
    </xf>
    <xf numFmtId="170" fontId="16" fillId="3" borderId="19" xfId="0" applyNumberFormat="1" applyFont="1" applyFill="1" applyBorder="1" applyAlignment="1">
      <alignment horizontal="right"/>
    </xf>
    <xf numFmtId="170" fontId="16" fillId="3" borderId="20" xfId="0" applyNumberFormat="1" applyFont="1" applyFill="1" applyBorder="1" applyAlignment="1">
      <alignment horizontal="right"/>
    </xf>
    <xf numFmtId="173" fontId="17" fillId="0" borderId="0" xfId="0" applyNumberFormat="1" applyFont="1"/>
    <xf numFmtId="0" fontId="15" fillId="0" borderId="21" xfId="0" applyFont="1" applyBorder="1" applyAlignment="1">
      <alignment horizontal="left" indent="1"/>
    </xf>
    <xf numFmtId="169" fontId="17" fillId="0" borderId="22" xfId="1" applyNumberFormat="1" applyFont="1" applyFill="1" applyBorder="1" applyAlignment="1">
      <alignment horizontal="center"/>
    </xf>
    <xf numFmtId="170" fontId="17" fillId="0" borderId="21" xfId="0" applyNumberFormat="1" applyFont="1" applyBorder="1" applyAlignment="1">
      <alignment horizontal="right"/>
    </xf>
    <xf numFmtId="170" fontId="16" fillId="3" borderId="22" xfId="0" applyNumberFormat="1" applyFont="1" applyFill="1" applyBorder="1" applyAlignment="1">
      <alignment horizontal="right"/>
    </xf>
    <xf numFmtId="0" fontId="15" fillId="0" borderId="23" xfId="0" applyFont="1" applyBorder="1" applyAlignment="1">
      <alignment horizontal="left" indent="1"/>
    </xf>
    <xf numFmtId="170" fontId="16" fillId="3" borderId="16" xfId="0" applyNumberFormat="1" applyFont="1" applyFill="1" applyBorder="1" applyAlignment="1">
      <alignment horizontal="right"/>
    </xf>
    <xf numFmtId="170" fontId="16" fillId="3" borderId="17" xfId="0" applyNumberFormat="1" applyFont="1" applyFill="1" applyBorder="1" applyAlignment="1">
      <alignment horizontal="right"/>
    </xf>
    <xf numFmtId="170" fontId="16" fillId="3" borderId="19" xfId="0" applyNumberFormat="1" applyFont="1" applyFill="1" applyBorder="1"/>
    <xf numFmtId="171" fontId="27" fillId="3" borderId="20" xfId="0" applyNumberFormat="1" applyFont="1" applyFill="1" applyBorder="1" applyAlignment="1">
      <alignment horizontal="right"/>
    </xf>
    <xf numFmtId="178" fontId="29" fillId="0" borderId="0" xfId="2" applyNumberFormat="1" applyFont="1" applyAlignment="1" applyProtection="1">
      <alignment horizontal="center" vertical="center"/>
      <protection hidden="1"/>
    </xf>
    <xf numFmtId="170" fontId="16" fillId="3" borderId="20" xfId="0" applyNumberFormat="1" applyFont="1" applyFill="1" applyBorder="1"/>
    <xf numFmtId="170" fontId="16" fillId="3" borderId="6" xfId="0" applyNumberFormat="1" applyFont="1" applyFill="1" applyBorder="1"/>
    <xf numFmtId="171" fontId="27" fillId="3" borderId="24" xfId="0" applyNumberFormat="1" applyFont="1" applyFill="1" applyBorder="1" applyAlignment="1">
      <alignment horizontal="right"/>
    </xf>
    <xf numFmtId="0" fontId="20" fillId="0" borderId="0" xfId="0" quotePrefix="1" applyFont="1" applyAlignment="1">
      <alignment horizontal="center"/>
    </xf>
    <xf numFmtId="9" fontId="16" fillId="3" borderId="6" xfId="0" applyNumberFormat="1" applyFont="1" applyFill="1" applyBorder="1"/>
    <xf numFmtId="0" fontId="20" fillId="0" borderId="6" xfId="0" quotePrefix="1" applyFont="1" applyBorder="1" applyAlignment="1">
      <alignment horizontal="center"/>
    </xf>
    <xf numFmtId="179" fontId="16" fillId="3" borderId="24" xfId="0" applyNumberFormat="1" applyFont="1" applyFill="1" applyBorder="1"/>
    <xf numFmtId="0" fontId="20" fillId="0" borderId="19" xfId="0" quotePrefix="1" applyFont="1" applyBorder="1" applyAlignment="1">
      <alignment horizontal="center"/>
    </xf>
    <xf numFmtId="179" fontId="16" fillId="3" borderId="20" xfId="0" applyNumberFormat="1" applyFont="1" applyFill="1" applyBorder="1"/>
    <xf numFmtId="179" fontId="17" fillId="0" borderId="24" xfId="0" applyNumberFormat="1" applyFont="1" applyBorder="1"/>
    <xf numFmtId="170" fontId="16" fillId="3" borderId="24" xfId="0" applyNumberFormat="1" applyFont="1" applyFill="1" applyBorder="1"/>
    <xf numFmtId="169" fontId="16" fillId="3" borderId="24" xfId="0" applyNumberFormat="1" applyFont="1" applyFill="1" applyBorder="1" applyAlignment="1">
      <alignment horizontal="right"/>
    </xf>
    <xf numFmtId="180" fontId="23" fillId="0" borderId="0" xfId="0" quotePrefix="1" applyNumberFormat="1" applyFont="1" applyAlignment="1">
      <alignment horizontal="right"/>
    </xf>
    <xf numFmtId="0" fontId="16" fillId="0" borderId="18" xfId="0" applyFont="1" applyBorder="1" applyAlignment="1">
      <alignment horizontal="left"/>
    </xf>
    <xf numFmtId="169" fontId="16" fillId="3" borderId="20" xfId="1" applyNumberFormat="1" applyFont="1" applyFill="1" applyBorder="1" applyAlignment="1">
      <alignment horizontal="right"/>
    </xf>
    <xf numFmtId="0" fontId="15" fillId="0" borderId="18" xfId="0" applyFont="1" applyBorder="1" applyAlignment="1">
      <alignment horizontal="left"/>
    </xf>
    <xf numFmtId="0" fontId="16" fillId="0" borderId="21" xfId="0" applyFont="1" applyBorder="1" applyAlignment="1">
      <alignment horizontal="left"/>
    </xf>
    <xf numFmtId="169" fontId="16" fillId="3" borderId="22" xfId="1" applyNumberFormat="1" applyFont="1" applyFill="1" applyBorder="1" applyAlignment="1">
      <alignment horizontal="right"/>
    </xf>
    <xf numFmtId="0" fontId="15" fillId="0" borderId="23" xfId="0" applyFont="1" applyBorder="1" applyAlignment="1">
      <alignment horizontal="left"/>
    </xf>
    <xf numFmtId="0" fontId="15" fillId="0" borderId="21" xfId="0" applyFont="1" applyBorder="1" applyAlignment="1">
      <alignment horizontal="left"/>
    </xf>
    <xf numFmtId="170" fontId="16" fillId="3" borderId="22" xfId="0" applyNumberFormat="1" applyFont="1" applyFill="1" applyBorder="1"/>
    <xf numFmtId="170" fontId="16" fillId="0" borderId="0" xfId="0" applyNumberFormat="1" applyFont="1"/>
    <xf numFmtId="0" fontId="14" fillId="0" borderId="0" xfId="0" applyFont="1" applyAlignment="1">
      <alignment horizontal="centerContinuous" vertical="center"/>
    </xf>
    <xf numFmtId="0" fontId="16" fillId="0" borderId="0" xfId="0" applyFont="1" applyAlignment="1">
      <alignment horizontal="centerContinuous" vertical="center"/>
    </xf>
    <xf numFmtId="0" fontId="22" fillId="0" borderId="0" xfId="0" applyFont="1" applyAlignment="1">
      <alignment horizontal="centerContinuous"/>
    </xf>
    <xf numFmtId="169" fontId="27" fillId="0" borderId="0" xfId="1" applyNumberFormat="1" applyFont="1" applyFill="1" applyBorder="1" applyAlignment="1">
      <alignment horizontal="right" vertical="center"/>
    </xf>
    <xf numFmtId="169" fontId="31" fillId="0" borderId="0" xfId="1" applyNumberFormat="1" applyFont="1" applyFill="1" applyBorder="1" applyAlignment="1">
      <alignment horizontal="right" vertical="center"/>
    </xf>
    <xf numFmtId="181" fontId="16" fillId="0" borderId="0" xfId="0" applyNumberFormat="1" applyFont="1" applyAlignment="1">
      <alignment horizontal="right"/>
    </xf>
    <xf numFmtId="169" fontId="27" fillId="3" borderId="0" xfId="1" applyNumberFormat="1" applyFont="1" applyFill="1" applyBorder="1" applyAlignment="1">
      <alignment horizontal="right" vertical="center"/>
    </xf>
    <xf numFmtId="170" fontId="16" fillId="3" borderId="18" xfId="3" applyNumberFormat="1" applyFont="1" applyFill="1" applyBorder="1" applyAlignment="1">
      <alignment vertical="center"/>
    </xf>
    <xf numFmtId="170" fontId="16" fillId="3" borderId="19" xfId="3" applyNumberFormat="1" applyFont="1" applyFill="1" applyBorder="1" applyAlignment="1">
      <alignment vertical="center"/>
    </xf>
    <xf numFmtId="170" fontId="16" fillId="3" borderId="20" xfId="3" applyNumberFormat="1" applyFont="1" applyFill="1" applyBorder="1" applyAlignment="1">
      <alignment vertical="center"/>
    </xf>
    <xf numFmtId="170" fontId="16" fillId="3" borderId="21" xfId="3" applyNumberFormat="1" applyFont="1" applyFill="1" applyBorder="1" applyAlignment="1">
      <alignment vertical="center"/>
    </xf>
    <xf numFmtId="170" fontId="16" fillId="3" borderId="22" xfId="3" applyNumberFormat="1" applyFont="1" applyFill="1" applyBorder="1" applyAlignment="1">
      <alignment vertical="center"/>
    </xf>
    <xf numFmtId="170" fontId="14" fillId="3" borderId="25" xfId="3" applyNumberFormat="1" applyFont="1" applyFill="1" applyBorder="1" applyAlignment="1">
      <alignment vertical="center"/>
    </xf>
    <xf numFmtId="170" fontId="16" fillId="3" borderId="23" xfId="3" applyNumberFormat="1" applyFont="1" applyFill="1" applyBorder="1" applyAlignment="1">
      <alignment vertical="center"/>
    </xf>
    <xf numFmtId="170" fontId="16" fillId="3" borderId="6" xfId="3" applyNumberFormat="1" applyFont="1" applyFill="1" applyBorder="1" applyAlignment="1">
      <alignment vertical="center"/>
    </xf>
    <xf numFmtId="170" fontId="16" fillId="3" borderId="24" xfId="3" applyNumberFormat="1" applyFont="1" applyFill="1" applyBorder="1" applyAlignment="1">
      <alignment vertical="center"/>
    </xf>
    <xf numFmtId="173" fontId="32" fillId="0" borderId="0" xfId="0" applyNumberFormat="1" applyFont="1" applyAlignment="1">
      <alignment horizontal="right"/>
    </xf>
    <xf numFmtId="173" fontId="16" fillId="0" borderId="0" xfId="0" applyNumberFormat="1" applyFont="1" applyAlignment="1">
      <alignment horizontal="right"/>
    </xf>
    <xf numFmtId="170" fontId="16" fillId="3" borderId="0" xfId="3" applyNumberFormat="1" applyFont="1" applyFill="1" applyBorder="1" applyAlignment="1">
      <alignment vertical="center"/>
    </xf>
    <xf numFmtId="169" fontId="16" fillId="0" borderId="0" xfId="1" applyNumberFormat="1" applyFont="1" applyFill="1" applyBorder="1" applyAlignment="1">
      <alignment horizontal="right" vertical="center"/>
    </xf>
    <xf numFmtId="0" fontId="22" fillId="0" borderId="0" xfId="0" applyFont="1" applyAlignment="1">
      <alignment horizontal="center"/>
    </xf>
    <xf numFmtId="37" fontId="33" fillId="2" borderId="0" xfId="0" applyNumberFormat="1" applyFont="1" applyFill="1" applyAlignment="1">
      <alignment vertical="center"/>
    </xf>
    <xf numFmtId="37" fontId="32" fillId="2" borderId="0" xfId="0" applyNumberFormat="1" applyFont="1" applyFill="1" applyAlignment="1">
      <alignment vertical="center"/>
    </xf>
    <xf numFmtId="166" fontId="33" fillId="2" borderId="0" xfId="0" applyNumberFormat="1" applyFont="1" applyFill="1" applyAlignment="1">
      <alignment horizontal="right"/>
    </xf>
    <xf numFmtId="37" fontId="33" fillId="0" borderId="0" xfId="0" applyNumberFormat="1" applyFont="1" applyAlignment="1">
      <alignment vertical="center"/>
    </xf>
    <xf numFmtId="37" fontId="32" fillId="0" borderId="0" xfId="0" applyNumberFormat="1" applyFont="1" applyAlignment="1">
      <alignment vertical="center"/>
    </xf>
    <xf numFmtId="166" fontId="33" fillId="0" borderId="0" xfId="0" applyNumberFormat="1" applyFont="1" applyAlignment="1">
      <alignment horizontal="right"/>
    </xf>
    <xf numFmtId="37" fontId="34" fillId="0" borderId="0" xfId="0" applyNumberFormat="1" applyFont="1" applyAlignment="1">
      <alignment vertical="center"/>
    </xf>
    <xf numFmtId="0" fontId="8" fillId="0" borderId="6" xfId="0" applyFont="1" applyBorder="1"/>
    <xf numFmtId="170" fontId="13" fillId="0" borderId="0" xfId="1" applyNumberFormat="1" applyFont="1" applyFill="1" applyBorder="1" applyAlignment="1">
      <alignment horizontal="right"/>
    </xf>
    <xf numFmtId="0" fontId="8" fillId="0" borderId="0" xfId="0" applyFont="1"/>
    <xf numFmtId="37" fontId="16" fillId="2" borderId="0" xfId="0" applyNumberFormat="1" applyFont="1" applyFill="1" applyAlignment="1">
      <alignment horizontal="center" vertical="center"/>
    </xf>
    <xf numFmtId="37" fontId="16" fillId="2" borderId="0" xfId="0" applyNumberFormat="1" applyFont="1" applyFill="1" applyAlignment="1">
      <alignment vertical="center"/>
    </xf>
    <xf numFmtId="37" fontId="32" fillId="0" borderId="0" xfId="0" applyNumberFormat="1" applyFont="1" applyAlignment="1">
      <alignment horizontal="center" vertical="center"/>
    </xf>
    <xf numFmtId="37" fontId="34" fillId="0" borderId="0" xfId="0" applyNumberFormat="1" applyFont="1" applyAlignment="1">
      <alignment horizontal="center" vertical="center"/>
    </xf>
    <xf numFmtId="166" fontId="33" fillId="0" borderId="15" xfId="0" applyNumberFormat="1" applyFont="1" applyBorder="1" applyAlignment="1">
      <alignment horizontal="right"/>
    </xf>
    <xf numFmtId="37" fontId="34" fillId="0" borderId="19" xfId="0" applyNumberFormat="1" applyFont="1" applyBorder="1" applyAlignment="1">
      <alignment vertical="center"/>
    </xf>
    <xf numFmtId="37" fontId="34" fillId="0" borderId="6" xfId="0" applyNumberFormat="1" applyFont="1" applyBorder="1" applyAlignment="1">
      <alignment vertical="center"/>
    </xf>
    <xf numFmtId="0" fontId="22" fillId="0" borderId="19" xfId="0" applyFont="1" applyBorder="1"/>
    <xf numFmtId="0" fontId="22" fillId="0" borderId="6" xfId="0" applyFont="1" applyBorder="1"/>
    <xf numFmtId="0" fontId="35" fillId="0" borderId="0" xfId="0" applyFont="1"/>
    <xf numFmtId="0" fontId="8" fillId="0" borderId="0" xfId="0" applyFont="1" applyAlignment="1">
      <alignment horizontal="left"/>
    </xf>
    <xf numFmtId="0" fontId="8" fillId="0" borderId="0" xfId="0" applyFont="1" applyAlignment="1">
      <alignment horizontal="centerContinuous"/>
    </xf>
    <xf numFmtId="0" fontId="35" fillId="0" borderId="0" xfId="0" applyFont="1" applyAlignment="1">
      <alignment horizontal="centerContinuous"/>
    </xf>
    <xf numFmtId="0" fontId="8" fillId="0" borderId="12" xfId="0" applyFont="1" applyBorder="1"/>
    <xf numFmtId="0" fontId="35" fillId="0" borderId="12" xfId="0" applyFont="1" applyBorder="1"/>
    <xf numFmtId="0" fontId="35" fillId="0" borderId="0" xfId="0" applyFont="1" applyAlignment="1">
      <alignment horizontal="left"/>
    </xf>
    <xf numFmtId="173" fontId="37" fillId="4" borderId="0" xfId="0" applyNumberFormat="1" applyFont="1" applyFill="1" applyAlignment="1">
      <alignment horizontal="right"/>
    </xf>
    <xf numFmtId="179" fontId="16" fillId="3" borderId="0" xfId="3" applyNumberFormat="1" applyFont="1" applyFill="1" applyBorder="1" applyAlignment="1">
      <alignment vertical="center"/>
    </xf>
    <xf numFmtId="169" fontId="16" fillId="3" borderId="0" xfId="3" applyNumberFormat="1" applyFont="1" applyFill="1" applyBorder="1" applyAlignment="1">
      <alignment horizontal="right" vertical="center"/>
    </xf>
    <xf numFmtId="10" fontId="0" fillId="5" borderId="1" xfId="1" applyNumberFormat="1" applyFont="1" applyFill="1" applyBorder="1"/>
    <xf numFmtId="10" fontId="0" fillId="5" borderId="2" xfId="1" applyNumberFormat="1" applyFont="1" applyFill="1" applyBorder="1"/>
    <xf numFmtId="10" fontId="0" fillId="5" borderId="3" xfId="1" applyNumberFormat="1" applyFont="1" applyFill="1" applyBorder="1"/>
    <xf numFmtId="165" fontId="0" fillId="5" borderId="1" xfId="1" applyNumberFormat="1" applyFont="1" applyFill="1" applyBorder="1"/>
    <xf numFmtId="165" fontId="0" fillId="5" borderId="2" xfId="1" applyNumberFormat="1" applyFont="1" applyFill="1" applyBorder="1"/>
    <xf numFmtId="165" fontId="0" fillId="5" borderId="3" xfId="1" applyNumberFormat="1" applyFont="1" applyFill="1" applyBorder="1"/>
    <xf numFmtId="164" fontId="9" fillId="0" borderId="0" xfId="0" applyNumberFormat="1" applyFont="1"/>
    <xf numFmtId="164" fontId="9" fillId="0" borderId="0" xfId="0" applyNumberFormat="1" applyFont="1" applyAlignment="1">
      <alignment horizontal="right"/>
    </xf>
    <xf numFmtId="169" fontId="6" fillId="0" borderId="6" xfId="0" applyNumberFormat="1" applyFont="1" applyBorder="1" applyAlignment="1">
      <alignment horizontal="right"/>
    </xf>
    <xf numFmtId="0" fontId="9" fillId="0" borderId="0" xfId="0" applyFont="1" applyAlignment="1">
      <alignment horizontal="right"/>
    </xf>
    <xf numFmtId="0" fontId="0" fillId="6" borderId="0" xfId="0" applyFill="1"/>
    <xf numFmtId="0" fontId="38" fillId="6" borderId="0" xfId="0" applyFont="1" applyFill="1"/>
    <xf numFmtId="169" fontId="16" fillId="3" borderId="26" xfId="3" applyNumberFormat="1" applyFont="1" applyFill="1" applyBorder="1" applyAlignment="1">
      <alignment horizontal="right" vertical="center"/>
    </xf>
    <xf numFmtId="169" fontId="16" fillId="3" borderId="27" xfId="3" applyNumberFormat="1" applyFont="1" applyFill="1" applyBorder="1" applyAlignment="1">
      <alignment horizontal="right" vertical="center"/>
    </xf>
    <xf numFmtId="169" fontId="16" fillId="3" borderId="28" xfId="3" applyNumberFormat="1" applyFont="1" applyFill="1" applyBorder="1" applyAlignment="1">
      <alignment horizontal="right" vertical="center"/>
    </xf>
    <xf numFmtId="169" fontId="16" fillId="3" borderId="29" xfId="3" applyNumberFormat="1" applyFont="1" applyFill="1" applyBorder="1" applyAlignment="1">
      <alignment horizontal="right" vertical="center"/>
    </xf>
    <xf numFmtId="169" fontId="16" fillId="3" borderId="30" xfId="3" applyNumberFormat="1" applyFont="1" applyFill="1" applyBorder="1" applyAlignment="1">
      <alignment horizontal="right" vertical="center"/>
    </xf>
    <xf numFmtId="169" fontId="16" fillId="3" borderId="31" xfId="3" applyNumberFormat="1" applyFont="1" applyFill="1" applyBorder="1" applyAlignment="1">
      <alignment horizontal="right" vertical="center"/>
    </xf>
    <xf numFmtId="169" fontId="16" fillId="3" borderId="32" xfId="3" applyNumberFormat="1" applyFont="1" applyFill="1" applyBorder="1" applyAlignment="1">
      <alignment horizontal="right" vertical="center"/>
    </xf>
    <xf numFmtId="169" fontId="16" fillId="3" borderId="33" xfId="3" applyNumberFormat="1" applyFont="1" applyFill="1" applyBorder="1" applyAlignment="1">
      <alignment horizontal="right" vertical="center"/>
    </xf>
    <xf numFmtId="170" fontId="16" fillId="3" borderId="26" xfId="3" applyNumberFormat="1" applyFont="1" applyFill="1" applyBorder="1" applyAlignment="1">
      <alignment vertical="center"/>
    </xf>
    <xf numFmtId="170" fontId="16" fillId="3" borderId="27" xfId="3" applyNumberFormat="1" applyFont="1" applyFill="1" applyBorder="1" applyAlignment="1">
      <alignment vertical="center"/>
    </xf>
    <xf numFmtId="170" fontId="16" fillId="3" borderId="28" xfId="3" applyNumberFormat="1" applyFont="1" applyFill="1" applyBorder="1" applyAlignment="1">
      <alignment vertical="center"/>
    </xf>
    <xf numFmtId="170" fontId="16" fillId="3" borderId="29" xfId="3" applyNumberFormat="1" applyFont="1" applyFill="1" applyBorder="1" applyAlignment="1">
      <alignment vertical="center"/>
    </xf>
    <xf numFmtId="170" fontId="16" fillId="3" borderId="30" xfId="3" applyNumberFormat="1" applyFont="1" applyFill="1" applyBorder="1" applyAlignment="1">
      <alignment vertical="center"/>
    </xf>
    <xf numFmtId="170" fontId="16" fillId="3" borderId="31" xfId="3" applyNumberFormat="1" applyFont="1" applyFill="1" applyBorder="1" applyAlignment="1">
      <alignment vertical="center"/>
    </xf>
    <xf numFmtId="170" fontId="16" fillId="3" borderId="32" xfId="3" applyNumberFormat="1" applyFont="1" applyFill="1" applyBorder="1" applyAlignment="1">
      <alignment vertical="center"/>
    </xf>
    <xf numFmtId="170" fontId="16" fillId="3" borderId="33" xfId="3" applyNumberFormat="1" applyFont="1" applyFill="1" applyBorder="1" applyAlignment="1">
      <alignment vertical="center"/>
    </xf>
    <xf numFmtId="179" fontId="16" fillId="3" borderId="26" xfId="3" applyNumberFormat="1" applyFont="1" applyFill="1" applyBorder="1" applyAlignment="1">
      <alignment vertical="center"/>
    </xf>
    <xf numFmtId="179" fontId="16" fillId="3" borderId="27" xfId="3" applyNumberFormat="1" applyFont="1" applyFill="1" applyBorder="1" applyAlignment="1">
      <alignment vertical="center"/>
    </xf>
    <xf numFmtId="179" fontId="16" fillId="3" borderId="28" xfId="3" applyNumberFormat="1" applyFont="1" applyFill="1" applyBorder="1" applyAlignment="1">
      <alignment vertical="center"/>
    </xf>
    <xf numFmtId="179" fontId="16" fillId="3" borderId="29" xfId="3" applyNumberFormat="1" applyFont="1" applyFill="1" applyBorder="1" applyAlignment="1">
      <alignment vertical="center"/>
    </xf>
    <xf numFmtId="179" fontId="16" fillId="3" borderId="30" xfId="3" applyNumberFormat="1" applyFont="1" applyFill="1" applyBorder="1" applyAlignment="1">
      <alignment vertical="center"/>
    </xf>
    <xf numFmtId="179" fontId="16" fillId="3" borderId="31" xfId="3" applyNumberFormat="1" applyFont="1" applyFill="1" applyBorder="1" applyAlignment="1">
      <alignment vertical="center"/>
    </xf>
    <xf numFmtId="179" fontId="16" fillId="3" borderId="32" xfId="3" applyNumberFormat="1" applyFont="1" applyFill="1" applyBorder="1" applyAlignment="1">
      <alignment vertical="center"/>
    </xf>
    <xf numFmtId="179" fontId="16" fillId="3" borderId="33" xfId="3" applyNumberFormat="1" applyFont="1" applyFill="1" applyBorder="1" applyAlignment="1">
      <alignment vertical="center"/>
    </xf>
    <xf numFmtId="3" fontId="0" fillId="0" borderId="0" xfId="0" applyNumberFormat="1"/>
    <xf numFmtId="0" fontId="41" fillId="0" borderId="0" xfId="0" applyFont="1" applyAlignment="1">
      <alignment vertical="center"/>
    </xf>
    <xf numFmtId="0" fontId="0" fillId="0" borderId="0" xfId="0" applyAlignment="1">
      <alignment horizontal="right"/>
    </xf>
    <xf numFmtId="0" fontId="42" fillId="0" borderId="0" xfId="0" applyFont="1"/>
    <xf numFmtId="168" fontId="9" fillId="0" borderId="0" xfId="0" applyNumberFormat="1" applyFont="1"/>
    <xf numFmtId="0" fontId="38" fillId="0" borderId="0" xfId="0" applyFont="1"/>
    <xf numFmtId="0" fontId="44" fillId="0" borderId="6" xfId="0" applyFont="1" applyBorder="1"/>
    <xf numFmtId="170" fontId="14" fillId="0" borderId="6" xfId="0" applyNumberFormat="1" applyFont="1" applyBorder="1" applyAlignment="1">
      <alignment horizontal="right"/>
    </xf>
    <xf numFmtId="0" fontId="45" fillId="0" borderId="0" xfId="0" applyFont="1"/>
    <xf numFmtId="37" fontId="39" fillId="0" borderId="6" xfId="0" applyNumberFormat="1" applyFont="1" applyBorder="1" applyAlignment="1">
      <alignment vertical="center"/>
    </xf>
    <xf numFmtId="0" fontId="44" fillId="0" borderId="0" xfId="0" applyFont="1"/>
    <xf numFmtId="0" fontId="46" fillId="0" borderId="12" xfId="0" applyFont="1" applyBorder="1" applyAlignment="1">
      <alignment vertical="center"/>
    </xf>
    <xf numFmtId="170" fontId="40" fillId="0" borderId="4" xfId="0" applyNumberFormat="1" applyFont="1" applyBorder="1" applyAlignment="1">
      <alignment horizontal="right" vertical="center"/>
    </xf>
    <xf numFmtId="169" fontId="17" fillId="0" borderId="0" xfId="0" applyNumberFormat="1" applyFont="1" applyAlignment="1">
      <alignment vertical="center"/>
    </xf>
    <xf numFmtId="170" fontId="17" fillId="0" borderId="0" xfId="0" applyNumberFormat="1" applyFont="1" applyAlignment="1">
      <alignment vertical="center"/>
    </xf>
    <xf numFmtId="169" fontId="16" fillId="3" borderId="0" xfId="0" applyNumberFormat="1" applyFont="1" applyFill="1" applyAlignment="1">
      <alignment vertical="center"/>
    </xf>
    <xf numFmtId="169" fontId="17" fillId="0" borderId="6" xfId="0" applyNumberFormat="1" applyFont="1" applyBorder="1" applyAlignment="1">
      <alignment vertical="center"/>
    </xf>
    <xf numFmtId="170" fontId="17" fillId="0" borderId="6" xfId="0" applyNumberFormat="1" applyFont="1" applyBorder="1" applyAlignment="1">
      <alignment vertical="center"/>
    </xf>
    <xf numFmtId="170" fontId="16" fillId="0" borderId="0" xfId="0" applyNumberFormat="1" applyFont="1" applyAlignment="1">
      <alignment vertical="center"/>
    </xf>
    <xf numFmtId="0" fontId="27" fillId="0" borderId="0" xfId="0" applyFont="1" applyAlignment="1">
      <alignment horizontal="left" indent="1"/>
    </xf>
    <xf numFmtId="0" fontId="47" fillId="0" borderId="0" xfId="0" applyFont="1"/>
    <xf numFmtId="0" fontId="18" fillId="0" borderId="6" xfId="0" applyFont="1" applyBorder="1"/>
    <xf numFmtId="0" fontId="14" fillId="0" borderId="0" xfId="0" applyFont="1" applyAlignment="1">
      <alignment horizontal="left"/>
    </xf>
    <xf numFmtId="37" fontId="39" fillId="0" borderId="0" xfId="0" applyNumberFormat="1" applyFont="1" applyAlignment="1">
      <alignment vertical="center"/>
    </xf>
    <xf numFmtId="174" fontId="48" fillId="0" borderId="0" xfId="0" applyNumberFormat="1" applyFont="1" applyAlignment="1">
      <alignment horizontal="left" indent="1"/>
    </xf>
    <xf numFmtId="0" fontId="49" fillId="0" borderId="0" xfId="0" applyFont="1"/>
    <xf numFmtId="180" fontId="48" fillId="0" borderId="0" xfId="0" applyNumberFormat="1" applyFont="1" applyAlignment="1">
      <alignment horizontal="left" indent="1"/>
    </xf>
    <xf numFmtId="183" fontId="48" fillId="0" borderId="0" xfId="0" applyNumberFormat="1" applyFont="1" applyAlignment="1">
      <alignment horizontal="left" indent="1"/>
    </xf>
    <xf numFmtId="184" fontId="48" fillId="0" borderId="0" xfId="0" applyNumberFormat="1" applyFont="1" applyAlignment="1">
      <alignment horizontal="left" indent="1"/>
    </xf>
    <xf numFmtId="0" fontId="18" fillId="0" borderId="34" xfId="0" applyFont="1" applyBorder="1"/>
    <xf numFmtId="10" fontId="27" fillId="3" borderId="0" xfId="1" applyNumberFormat="1" applyFont="1" applyFill="1" applyBorder="1" applyAlignment="1">
      <alignment vertical="center"/>
    </xf>
    <xf numFmtId="185" fontId="17" fillId="0" borderId="0" xfId="0" applyNumberFormat="1" applyFont="1" applyAlignment="1">
      <alignment vertical="center"/>
    </xf>
    <xf numFmtId="185" fontId="16" fillId="3" borderId="0" xfId="0" applyNumberFormat="1" applyFont="1" applyFill="1" applyAlignment="1">
      <alignment vertical="center"/>
    </xf>
    <xf numFmtId="185" fontId="16" fillId="3" borderId="6" xfId="0" applyNumberFormat="1" applyFont="1" applyFill="1" applyBorder="1" applyAlignment="1">
      <alignment vertical="center"/>
    </xf>
    <xf numFmtId="0" fontId="9" fillId="0" borderId="35" xfId="0" applyFont="1" applyBorder="1" applyAlignment="1">
      <alignment horizontal="right"/>
    </xf>
    <xf numFmtId="9" fontId="0" fillId="0" borderId="0" xfId="1" applyFont="1" applyAlignment="1">
      <alignment horizontal="right"/>
    </xf>
    <xf numFmtId="3" fontId="0" fillId="5" borderId="1" xfId="1" applyNumberFormat="1" applyFont="1" applyFill="1" applyBorder="1"/>
    <xf numFmtId="3" fontId="0" fillId="5" borderId="2" xfId="1" applyNumberFormat="1" applyFont="1" applyFill="1" applyBorder="1"/>
    <xf numFmtId="3" fontId="0" fillId="5" borderId="3" xfId="1" applyNumberFormat="1" applyFont="1" applyFill="1" applyBorder="1"/>
    <xf numFmtId="170" fontId="5" fillId="0" borderId="6" xfId="0" applyNumberFormat="1" applyFont="1" applyBorder="1" applyAlignment="1">
      <alignment horizontal="right"/>
    </xf>
    <xf numFmtId="170" fontId="5" fillId="0" borderId="9" xfId="0" applyNumberFormat="1" applyFont="1" applyBorder="1" applyAlignment="1">
      <alignment horizontal="right"/>
    </xf>
    <xf numFmtId="185" fontId="16" fillId="3" borderId="5" xfId="0" applyNumberFormat="1" applyFont="1" applyFill="1" applyBorder="1" applyAlignment="1">
      <alignment vertical="center"/>
    </xf>
    <xf numFmtId="185" fontId="5" fillId="0" borderId="24" xfId="1" applyNumberFormat="1" applyFont="1" applyFill="1" applyBorder="1" applyAlignment="1">
      <alignment horizontal="center"/>
    </xf>
    <xf numFmtId="171" fontId="31" fillId="0" borderId="0" xfId="1" applyNumberFormat="1" applyFont="1" applyFill="1" applyBorder="1" applyAlignment="1">
      <alignment horizontal="right" vertical="center"/>
    </xf>
    <xf numFmtId="170" fontId="4" fillId="0" borderId="24" xfId="0" applyNumberFormat="1" applyFont="1" applyBorder="1"/>
    <xf numFmtId="173" fontId="8" fillId="0" borderId="0" xfId="0" applyNumberFormat="1" applyFont="1"/>
    <xf numFmtId="170" fontId="16" fillId="5" borderId="1" xfId="0" applyNumberFormat="1" applyFont="1" applyFill="1" applyBorder="1"/>
    <xf numFmtId="170" fontId="16" fillId="5" borderId="2" xfId="0" applyNumberFormat="1" applyFont="1" applyFill="1" applyBorder="1"/>
    <xf numFmtId="170" fontId="16" fillId="5" borderId="3" xfId="0" applyNumberFormat="1" applyFont="1" applyFill="1" applyBorder="1"/>
    <xf numFmtId="170" fontId="3" fillId="0" borderId="6" xfId="0" applyNumberFormat="1" applyFont="1" applyBorder="1" applyAlignment="1">
      <alignment horizontal="right"/>
    </xf>
    <xf numFmtId="170" fontId="3" fillId="0" borderId="0" xfId="0" applyNumberFormat="1" applyFont="1"/>
    <xf numFmtId="170" fontId="3" fillId="0" borderId="8" xfId="0" applyNumberFormat="1" applyFont="1" applyBorder="1"/>
    <xf numFmtId="179" fontId="51" fillId="0" borderId="0" xfId="0" applyNumberFormat="1" applyFont="1"/>
    <xf numFmtId="170" fontId="51" fillId="0" borderId="0" xfId="0" applyNumberFormat="1" applyFont="1"/>
    <xf numFmtId="9" fontId="51" fillId="0" borderId="0" xfId="1" applyFont="1"/>
    <xf numFmtId="165" fontId="0" fillId="0" borderId="0" xfId="0" applyNumberFormat="1" applyAlignment="1">
      <alignment horizontal="right"/>
    </xf>
    <xf numFmtId="9" fontId="52" fillId="0" borderId="0" xfId="0" applyNumberFormat="1" applyFont="1"/>
    <xf numFmtId="3" fontId="53" fillId="7" borderId="0" xfId="0" applyNumberFormat="1" applyFont="1" applyFill="1" applyAlignment="1">
      <alignment horizontal="right" vertical="center" wrapText="1"/>
    </xf>
    <xf numFmtId="0" fontId="9"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3" fontId="0" fillId="0" borderId="0" xfId="0" applyNumberFormat="1" applyAlignment="1">
      <alignment vertical="center" wrapText="1"/>
    </xf>
    <xf numFmtId="170" fontId="2" fillId="0" borderId="0" xfId="0" applyNumberFormat="1" applyFont="1" applyAlignment="1">
      <alignment horizontal="right"/>
    </xf>
    <xf numFmtId="170" fontId="50" fillId="0" borderId="0" xfId="0" applyNumberFormat="1" applyFont="1" applyAlignment="1">
      <alignment horizontal="right"/>
    </xf>
    <xf numFmtId="166" fontId="13" fillId="0" borderId="0" xfId="0" applyNumberFormat="1" applyFont="1" applyAlignment="1">
      <alignment horizontal="right" vertical="center"/>
    </xf>
    <xf numFmtId="170" fontId="3" fillId="0" borderId="0" xfId="0" applyNumberFormat="1" applyFont="1" applyAlignment="1">
      <alignment horizontal="right"/>
    </xf>
    <xf numFmtId="171" fontId="16" fillId="0" borderId="0" xfId="0" applyNumberFormat="1" applyFont="1" applyAlignment="1">
      <alignment horizontal="right"/>
    </xf>
    <xf numFmtId="166" fontId="14" fillId="0" borderId="5" xfId="0" applyNumberFormat="1" applyFont="1" applyBorder="1" applyAlignment="1">
      <alignment horizontal="right" vertical="center"/>
    </xf>
    <xf numFmtId="170" fontId="54" fillId="3" borderId="0" xfId="0" applyNumberFormat="1" applyFont="1" applyFill="1" applyAlignment="1">
      <alignment horizontal="right"/>
    </xf>
    <xf numFmtId="170" fontId="54" fillId="0" borderId="0" xfId="0" applyNumberFormat="1" applyFont="1"/>
    <xf numFmtId="170" fontId="54" fillId="0" borderId="8" xfId="0" applyNumberFormat="1" applyFont="1" applyBorder="1"/>
    <xf numFmtId="185" fontId="54" fillId="0" borderId="24" xfId="1" applyNumberFormat="1" applyFont="1" applyFill="1" applyBorder="1" applyAlignment="1">
      <alignment horizontal="center"/>
    </xf>
    <xf numFmtId="0" fontId="56" fillId="0" borderId="0" xfId="0" applyFont="1"/>
    <xf numFmtId="169" fontId="6" fillId="0" borderId="0" xfId="0" applyNumberFormat="1" applyFont="1" applyAlignment="1">
      <alignment horizontal="right"/>
    </xf>
    <xf numFmtId="166" fontId="14" fillId="0" borderId="4" xfId="0" applyNumberFormat="1" applyFont="1" applyBorder="1" applyAlignment="1">
      <alignment horizontal="right" vertical="center"/>
    </xf>
    <xf numFmtId="170" fontId="54" fillId="0" borderId="37" xfId="0" applyNumberFormat="1" applyFont="1" applyBorder="1" applyAlignment="1">
      <alignment horizontal="right"/>
    </xf>
    <xf numFmtId="170" fontId="54" fillId="0" borderId="0" xfId="0" applyNumberFormat="1" applyFont="1" applyAlignment="1">
      <alignment horizontal="right"/>
    </xf>
    <xf numFmtId="170" fontId="16" fillId="0" borderId="0" xfId="0" applyNumberFormat="1" applyFont="1" applyAlignment="1">
      <alignment horizontal="right"/>
    </xf>
    <xf numFmtId="170" fontId="14" fillId="0" borderId="0" xfId="0" applyNumberFormat="1" applyFont="1"/>
    <xf numFmtId="9" fontId="0" fillId="0" borderId="0" xfId="1" applyFont="1" applyBorder="1" applyAlignment="1">
      <alignment horizontal="right"/>
    </xf>
    <xf numFmtId="10" fontId="0" fillId="0" borderId="0" xfId="1" applyNumberFormat="1" applyFont="1" applyBorder="1"/>
    <xf numFmtId="9" fontId="0" fillId="0" borderId="0" xfId="1" applyFont="1" applyFill="1" applyBorder="1" applyAlignment="1">
      <alignment horizontal="right"/>
    </xf>
    <xf numFmtId="10" fontId="0" fillId="0" borderId="0" xfId="1" applyNumberFormat="1" applyFont="1" applyFill="1" applyBorder="1"/>
    <xf numFmtId="0" fontId="43" fillId="0" borderId="0" xfId="0" applyFont="1"/>
    <xf numFmtId="168" fontId="9" fillId="0" borderId="0" xfId="0" applyNumberFormat="1" applyFont="1" applyAlignment="1">
      <alignment horizontal="right"/>
    </xf>
    <xf numFmtId="165" fontId="0" fillId="0" borderId="0" xfId="1" applyNumberFormat="1" applyFont="1" applyFill="1" applyBorder="1"/>
    <xf numFmtId="3" fontId="0" fillId="0" borderId="0" xfId="1" applyNumberFormat="1" applyFont="1" applyFill="1" applyBorder="1"/>
    <xf numFmtId="170" fontId="1" fillId="3" borderId="37" xfId="0" applyNumberFormat="1" applyFont="1" applyFill="1" applyBorder="1" applyAlignment="1">
      <alignment horizontal="right"/>
    </xf>
    <xf numFmtId="170" fontId="1" fillId="3" borderId="0" xfId="0" applyNumberFormat="1" applyFont="1" applyFill="1" applyAlignment="1">
      <alignment horizontal="right"/>
    </xf>
    <xf numFmtId="0" fontId="46" fillId="0" borderId="0" xfId="0" applyFont="1" applyAlignment="1">
      <alignment vertical="center"/>
    </xf>
    <xf numFmtId="9" fontId="51" fillId="0" borderId="0" xfId="1" applyFont="1" applyFill="1" applyBorder="1"/>
    <xf numFmtId="185" fontId="16" fillId="0" borderId="0" xfId="0" applyNumberFormat="1" applyFont="1" applyAlignment="1">
      <alignment vertical="center"/>
    </xf>
    <xf numFmtId="170" fontId="14" fillId="0" borderId="0" xfId="0" applyNumberFormat="1" applyFont="1" applyAlignment="1">
      <alignment horizontal="right"/>
    </xf>
    <xf numFmtId="170" fontId="40" fillId="0" borderId="0" xfId="0" applyNumberFormat="1" applyFont="1" applyAlignment="1">
      <alignment horizontal="right" vertical="center"/>
    </xf>
    <xf numFmtId="169" fontId="16" fillId="0" borderId="0" xfId="0" applyNumberFormat="1" applyFont="1" applyAlignment="1">
      <alignment vertical="center"/>
    </xf>
    <xf numFmtId="10" fontId="27" fillId="0" borderId="0" xfId="1" applyNumberFormat="1" applyFont="1" applyFill="1" applyBorder="1" applyAlignment="1">
      <alignment vertical="center"/>
    </xf>
    <xf numFmtId="0" fontId="43" fillId="0" borderId="36" xfId="0" applyFont="1" applyBorder="1" applyAlignment="1">
      <alignment horizontal="center"/>
    </xf>
    <xf numFmtId="0" fontId="43" fillId="0" borderId="0" xfId="0" applyFont="1" applyAlignment="1">
      <alignment horizontal="center"/>
    </xf>
    <xf numFmtId="0" fontId="16" fillId="0" borderId="0" xfId="0" applyFont="1" applyAlignment="1">
      <alignment horizontal="right" vertical="center" textRotation="90"/>
    </xf>
  </cellXfs>
  <cellStyles count="4">
    <cellStyle name="Comma 2" xfId="3" xr:uid="{FFB8FCEA-15A6-47DD-883C-449B0B6C795C}"/>
    <cellStyle name="Normal" xfId="0" builtinId="0"/>
    <cellStyle name="Normal 2" xfId="2" xr:uid="{9454C49A-7EED-4809-95A7-37BC6D7F8C21}"/>
    <cellStyle name="Percent" xfId="1" builtinId="5"/>
  </cellStyles>
  <dxfs count="0"/>
  <tableStyles count="1" defaultTableStyle="TableStyleMedium2" defaultPivotStyle="PivotStyleLight16">
    <tableStyle name="Invisible" pivot="0" table="0" count="0" xr9:uid="{0029304D-5B15-442A-AE0F-82EC0FA1EB2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'Growth Factors'!$I$17:$M$18</c:f>
              <c:numCache>
                <c:formatCode>General</c:formatCode>
                <c:ptCount val="5"/>
              </c:numCache>
            </c:numRef>
          </c:cat>
          <c:val>
            <c:numRef>
              <c:f>'Growth Factors'!$I$19:$M$19</c:f>
              <c:numCache>
                <c:formatCode>0.00%</c:formatCode>
                <c:ptCount val="5"/>
                <c:pt idx="0">
                  <c:v>0.55000000000000004</c:v>
                </c:pt>
                <c:pt idx="1">
                  <c:v>0.60000000000000009</c:v>
                </c:pt>
                <c:pt idx="2">
                  <c:v>0.65000000000000013</c:v>
                </c:pt>
                <c:pt idx="3">
                  <c:v>0.70000000000000018</c:v>
                </c:pt>
                <c:pt idx="4">
                  <c:v>0.75000000000000022</c:v>
                </c:pt>
              </c:numCache>
            </c:numRef>
          </c:val>
          <c:smooth val="0"/>
          <c:extLst>
            <c:ext xmlns:c16="http://schemas.microsoft.com/office/drawing/2014/chart" uri="{C3380CC4-5D6E-409C-BE32-E72D297353CC}">
              <c16:uniqueId val="{00000000-EBC1-4E19-BDD8-EE9DD0E59901}"/>
            </c:ext>
          </c:extLst>
        </c:ser>
        <c:dLbls>
          <c:showLegendKey val="0"/>
          <c:showVal val="0"/>
          <c:showCatName val="0"/>
          <c:showSerName val="0"/>
          <c:showPercent val="0"/>
          <c:showBubbleSize val="0"/>
        </c:dLbls>
        <c:smooth val="0"/>
        <c:axId val="354299999"/>
        <c:axId val="354300479"/>
      </c:lineChart>
      <c:catAx>
        <c:axId val="3542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00479"/>
        <c:crosses val="autoZero"/>
        <c:auto val="1"/>
        <c:lblAlgn val="ctr"/>
        <c:lblOffset val="100"/>
        <c:noMultiLvlLbl val="0"/>
      </c:catAx>
      <c:valAx>
        <c:axId val="354300479"/>
        <c:scaling>
          <c:orientation val="minMax"/>
          <c:min val="0.150000000000000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2999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'Growth Factors'!$I$21:$M$22</c:f>
              <c:numCache>
                <c:formatCode>General</c:formatCode>
                <c:ptCount val="5"/>
              </c:numCache>
            </c:numRef>
          </c:cat>
          <c:val>
            <c:numRef>
              <c:f>'Growth Factors'!$I$23:$M$23</c:f>
              <c:numCache>
                <c:formatCode>0.00%</c:formatCode>
                <c:ptCount val="5"/>
                <c:pt idx="0">
                  <c:v>0.55000000000000004</c:v>
                </c:pt>
                <c:pt idx="1">
                  <c:v>0.55000000000000004</c:v>
                </c:pt>
                <c:pt idx="2">
                  <c:v>0.55000000000000004</c:v>
                </c:pt>
                <c:pt idx="3">
                  <c:v>0.55000000000000004</c:v>
                </c:pt>
                <c:pt idx="4">
                  <c:v>0.55000000000000004</c:v>
                </c:pt>
              </c:numCache>
            </c:numRef>
          </c:val>
          <c:smooth val="0"/>
          <c:extLst>
            <c:ext xmlns:c16="http://schemas.microsoft.com/office/drawing/2014/chart" uri="{C3380CC4-5D6E-409C-BE32-E72D297353CC}">
              <c16:uniqueId val="{00000000-7304-4A78-BF4A-34578D81BA89}"/>
            </c:ext>
          </c:extLst>
        </c:ser>
        <c:dLbls>
          <c:showLegendKey val="0"/>
          <c:showVal val="0"/>
          <c:showCatName val="0"/>
          <c:showSerName val="0"/>
          <c:showPercent val="0"/>
          <c:showBubbleSize val="0"/>
        </c:dLbls>
        <c:smooth val="0"/>
        <c:axId val="354260319"/>
        <c:axId val="354257919"/>
      </c:lineChart>
      <c:catAx>
        <c:axId val="3542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257919"/>
        <c:crosses val="autoZero"/>
        <c:auto val="1"/>
        <c:lblAlgn val="ctr"/>
        <c:lblOffset val="100"/>
        <c:noMultiLvlLbl val="0"/>
      </c:catAx>
      <c:valAx>
        <c:axId val="354257919"/>
        <c:scaling>
          <c:orientation val="minMax"/>
          <c:min val="9.0000000000000024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260319"/>
        <c:crosses val="autoZero"/>
        <c:crossBetween val="between"/>
        <c:majorUnit val="0.2"/>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'Growth Factors'!$I$25:$M$26</c:f>
              <c:numCache>
                <c:formatCode>General</c:formatCode>
                <c:ptCount val="5"/>
              </c:numCache>
            </c:numRef>
          </c:cat>
          <c:val>
            <c:numRef>
              <c:f>'Growth Factors'!$I$27:$M$27</c:f>
              <c:numCache>
                <c:formatCode>0.00%</c:formatCode>
                <c:ptCount val="5"/>
                <c:pt idx="0">
                  <c:v>0.54999999999999993</c:v>
                </c:pt>
                <c:pt idx="1">
                  <c:v>0.49999999999999994</c:v>
                </c:pt>
                <c:pt idx="2">
                  <c:v>0.44999999999999996</c:v>
                </c:pt>
                <c:pt idx="3">
                  <c:v>0.39999999999999997</c:v>
                </c:pt>
                <c:pt idx="4">
                  <c:v>0.35</c:v>
                </c:pt>
              </c:numCache>
            </c:numRef>
          </c:val>
          <c:smooth val="0"/>
          <c:extLst>
            <c:ext xmlns:c16="http://schemas.microsoft.com/office/drawing/2014/chart" uri="{C3380CC4-5D6E-409C-BE32-E72D297353CC}">
              <c16:uniqueId val="{00000000-EEE7-46E1-A1A5-D21F299943BA}"/>
            </c:ext>
          </c:extLst>
        </c:ser>
        <c:dLbls>
          <c:showLegendKey val="0"/>
          <c:showVal val="0"/>
          <c:showCatName val="0"/>
          <c:showSerName val="0"/>
          <c:showPercent val="0"/>
          <c:showBubbleSize val="0"/>
        </c:dLbls>
        <c:smooth val="0"/>
        <c:axId val="1621399088"/>
        <c:axId val="1621401488"/>
      </c:lineChart>
      <c:catAx>
        <c:axId val="16213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401488"/>
        <c:crosses val="autoZero"/>
        <c:auto val="1"/>
        <c:lblAlgn val="ctr"/>
        <c:lblOffset val="100"/>
        <c:noMultiLvlLbl val="0"/>
      </c:catAx>
      <c:valAx>
        <c:axId val="1621401488"/>
        <c:scaling>
          <c:orientation val="minMax"/>
          <c:min val="5.000000000000001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399088"/>
        <c:crosses val="autoZero"/>
        <c:crossBetween val="between"/>
        <c:majorUnit val="0.2"/>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4" dropStyle="combo" dx="39" fmlaLink="$C$4" fmlaRange="$B$8:$B$11" noThreeD="1" sel="1" val="0"/>
</file>

<file path=xl/ctrlProps/ctrlProp2.xml><?xml version="1.0" encoding="utf-8"?>
<formControlPr xmlns="http://schemas.microsoft.com/office/spreadsheetml/2009/9/main" objectType="Drop" dropLines="4" dropStyle="combo" dx="39" fmlaLink="$C$4" fmlaRange="$B$8:$B$11" noThreeD="1" sel="3"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35718</xdr:colOff>
      <xdr:row>43</xdr:row>
      <xdr:rowOff>161329</xdr:rowOff>
    </xdr:from>
    <xdr:to>
      <xdr:col>5</xdr:col>
      <xdr:colOff>89297</xdr:colOff>
      <xdr:row>54</xdr:row>
      <xdr:rowOff>95249</xdr:rowOff>
    </xdr:to>
    <xdr:graphicFrame macro="">
      <xdr:nvGraphicFramePr>
        <xdr:cNvPr id="6" name="Chart 5">
          <a:extLst>
            <a:ext uri="{FF2B5EF4-FFF2-40B4-BE49-F238E27FC236}">
              <a16:creationId xmlns:a16="http://schemas.microsoft.com/office/drawing/2014/main" id="{FBB15692-45BF-3320-F9E2-9084CFF3A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130968</xdr:colOff>
      <xdr:row>44</xdr:row>
      <xdr:rowOff>17859</xdr:rowOff>
    </xdr:from>
    <xdr:to>
      <xdr:col>9</xdr:col>
      <xdr:colOff>511968</xdr:colOff>
      <xdr:row>54</xdr:row>
      <xdr:rowOff>101202</xdr:rowOff>
    </xdr:to>
    <xdr:graphicFrame macro="">
      <xdr:nvGraphicFramePr>
        <xdr:cNvPr id="7" name="Chart 6">
          <a:extLst>
            <a:ext uri="{FF2B5EF4-FFF2-40B4-BE49-F238E27FC236}">
              <a16:creationId xmlns:a16="http://schemas.microsoft.com/office/drawing/2014/main" id="{5E206E7C-6A54-35E8-04AC-54BEE575F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613171</xdr:colOff>
      <xdr:row>44</xdr:row>
      <xdr:rowOff>24407</xdr:rowOff>
    </xdr:from>
    <xdr:to>
      <xdr:col>14</xdr:col>
      <xdr:colOff>89296</xdr:colOff>
      <xdr:row>54</xdr:row>
      <xdr:rowOff>89296</xdr:rowOff>
    </xdr:to>
    <xdr:graphicFrame macro="">
      <xdr:nvGraphicFramePr>
        <xdr:cNvPr id="8" name="Chart 7">
          <a:extLst>
            <a:ext uri="{FF2B5EF4-FFF2-40B4-BE49-F238E27FC236}">
              <a16:creationId xmlns:a16="http://schemas.microsoft.com/office/drawing/2014/main" id="{C65A1850-920F-5911-664D-40E9791AD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xdr:row>
          <xdr:rowOff>0</xdr:rowOff>
        </xdr:from>
        <xdr:to>
          <xdr:col>3</xdr:col>
          <xdr:colOff>0</xdr:colOff>
          <xdr:row>4</xdr:row>
          <xdr:rowOff>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xdr:row>
          <xdr:rowOff>0</xdr:rowOff>
        </xdr:from>
        <xdr:to>
          <xdr:col>3</xdr:col>
          <xdr:colOff>0</xdr:colOff>
          <xdr:row>4</xdr:row>
          <xdr:rowOff>0</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https://www.bing.com/financeapi/forcetrigger?t=a1yv52&amp;q=XNAS%3aNVDA&amp;form=skydnc</v>
    <v>Learn more on Bing</v>
  </rv>
  <rv s="1">
    <v>en-US</v>
    <v>a1yv52</v>
    <v>268435456</v>
    <v>1</v>
    <v>9</v>
    <v>Powered by Refinitiv</v>
    <v>0</v>
    <v>NVIDIA CORPORATION (XNAS:NVDA)</v>
    <v>2</v>
    <v>3</v>
    <v>Finance</v>
    <v>4</v>
    <v>212.18989999999999</v>
    <v>86.62</v>
    <v>2.3182999999999998</v>
    <v>0.68</v>
    <v>3.8569999999999998E-3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177.68</v>
    <v>Semiconductors &amp; Semiconductor Equipment</v>
    <v>Stock</v>
    <v>46007.841875878905</v>
    <v>0</v>
    <v>174.9</v>
    <v>4300371000000</v>
    <v>NVIDIA CORPORATION</v>
    <v>NVIDIA CORPORATION</v>
    <v>176.12</v>
    <v>43.831600000000002</v>
    <v>176.29</v>
    <v>176.97</v>
    <v>24300000000</v>
    <v>NVDA</v>
    <v>NVIDIA CORPORATION (XNAS:NVDA)</v>
    <v>105065780</v>
    <v>201677870</v>
    <v>1998</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F1C9-003A-432E-B8ED-D455C2912EB1}">
  <sheetPr codeName="Sheet3"/>
  <dimension ref="B2:O43"/>
  <sheetViews>
    <sheetView showGridLines="0" topLeftCell="D1" zoomScale="95" zoomScaleNormal="160" workbookViewId="0">
      <selection activeCell="H42" sqref="H42"/>
    </sheetView>
  </sheetViews>
  <sheetFormatPr defaultRowHeight="14.25" x14ac:dyDescent="0.45"/>
  <cols>
    <col min="2" max="2" width="9.265625" bestFit="1" customWidth="1"/>
    <col min="3" max="3" width="9.73046875" customWidth="1"/>
    <col min="4" max="7" width="9.265625" bestFit="1" customWidth="1"/>
    <col min="14" max="14" width="9.06640625" customWidth="1"/>
  </cols>
  <sheetData>
    <row r="2" spans="2:15" ht="21" x14ac:dyDescent="0.65">
      <c r="B2" s="168" t="s">
        <v>65</v>
      </c>
      <c r="C2" s="167"/>
      <c r="D2" s="167"/>
      <c r="E2" s="167"/>
      <c r="F2" s="167"/>
      <c r="G2" s="167"/>
      <c r="H2" s="167"/>
      <c r="I2" s="167"/>
      <c r="J2" s="167"/>
      <c r="K2" s="167"/>
      <c r="L2" s="167"/>
      <c r="M2" s="167"/>
      <c r="N2" s="167"/>
    </row>
    <row r="3" spans="2:15" ht="21" x14ac:dyDescent="0.65">
      <c r="B3" s="198"/>
    </row>
    <row r="4" spans="2:15" ht="15.4" customHeight="1" x14ac:dyDescent="0.45">
      <c r="B4" s="289" t="s">
        <v>69</v>
      </c>
      <c r="C4" s="289"/>
      <c r="D4" s="289"/>
      <c r="E4" s="289"/>
      <c r="G4" s="289" t="s">
        <v>88</v>
      </c>
      <c r="H4" s="289"/>
      <c r="I4" s="289"/>
      <c r="J4" s="289"/>
      <c r="L4" s="290"/>
      <c r="M4" s="290"/>
      <c r="N4" s="290"/>
      <c r="O4" s="290"/>
    </row>
    <row r="5" spans="2:15" x14ac:dyDescent="0.45">
      <c r="B5" s="2" t="s">
        <v>0</v>
      </c>
      <c r="C5" s="166" t="s">
        <v>4</v>
      </c>
      <c r="D5" s="227" t="s">
        <v>62</v>
      </c>
      <c r="E5" s="227" t="s">
        <v>6</v>
      </c>
      <c r="G5" s="2" t="s">
        <v>0</v>
      </c>
      <c r="H5" s="166" t="s">
        <v>4</v>
      </c>
      <c r="I5" s="227" t="s">
        <v>62</v>
      </c>
      <c r="J5" s="227" t="s">
        <v>6</v>
      </c>
      <c r="L5" s="2"/>
      <c r="M5" s="166"/>
      <c r="N5" s="166"/>
      <c r="O5" s="166"/>
    </row>
    <row r="6" spans="2:15" x14ac:dyDescent="0.45">
      <c r="B6" t="s">
        <v>63</v>
      </c>
      <c r="C6" s="228">
        <v>0.5</v>
      </c>
      <c r="D6" s="228">
        <v>0.55000000000000004</v>
      </c>
      <c r="E6" s="228">
        <v>0.6</v>
      </c>
      <c r="G6" t="s">
        <v>63</v>
      </c>
      <c r="H6" s="228">
        <v>0.9</v>
      </c>
      <c r="I6" s="228">
        <v>0.9</v>
      </c>
      <c r="J6" s="228">
        <v>0.9</v>
      </c>
      <c r="M6" s="228"/>
      <c r="N6" s="228"/>
      <c r="O6" s="228"/>
    </row>
    <row r="7" spans="2:15" x14ac:dyDescent="0.45">
      <c r="B7" t="s">
        <v>64</v>
      </c>
      <c r="C7" s="228">
        <v>0.75</v>
      </c>
      <c r="D7" s="228">
        <v>0.55000000000000004</v>
      </c>
      <c r="E7" s="228">
        <v>0.35</v>
      </c>
      <c r="G7" t="s">
        <v>64</v>
      </c>
      <c r="H7" s="228">
        <v>1.05</v>
      </c>
      <c r="I7" s="228">
        <v>0.9</v>
      </c>
      <c r="J7" s="228">
        <v>0.75</v>
      </c>
      <c r="M7" s="228"/>
      <c r="N7" s="228"/>
      <c r="O7" s="228"/>
    </row>
    <row r="8" spans="2:15" x14ac:dyDescent="0.45">
      <c r="B8" t="s">
        <v>91</v>
      </c>
      <c r="C8" s="195">
        <v>5</v>
      </c>
      <c r="D8" s="195">
        <v>5</v>
      </c>
      <c r="E8" s="195">
        <v>5</v>
      </c>
      <c r="G8" t="s">
        <v>91</v>
      </c>
      <c r="H8" s="195">
        <v>5</v>
      </c>
      <c r="I8" s="195">
        <v>5</v>
      </c>
      <c r="J8" s="195">
        <v>5</v>
      </c>
      <c r="M8" s="195"/>
      <c r="N8" s="195"/>
      <c r="O8" s="195"/>
    </row>
    <row r="9" spans="2:15" x14ac:dyDescent="0.45">
      <c r="B9" t="s">
        <v>92</v>
      </c>
      <c r="C9" s="248">
        <f>(C7-C6)/C8</f>
        <v>0.05</v>
      </c>
      <c r="D9" s="248">
        <f t="shared" ref="D9" si="0">(D7-D6)/D8</f>
        <v>0</v>
      </c>
      <c r="E9" s="248">
        <f t="shared" ref="E9" si="1">(E7-E6)/E8</f>
        <v>-0.05</v>
      </c>
      <c r="G9" t="s">
        <v>92</v>
      </c>
      <c r="H9" s="248">
        <f>(H7-H6)/H8</f>
        <v>3.0000000000000006E-2</v>
      </c>
      <c r="I9" s="248">
        <f t="shared" ref="I9" si="2">(I7-I6)/I8</f>
        <v>0</v>
      </c>
      <c r="J9" s="248">
        <f t="shared" ref="J9" si="3">(J7-J6)/J8</f>
        <v>-3.0000000000000006E-2</v>
      </c>
      <c r="M9" s="248"/>
      <c r="N9" s="248"/>
      <c r="O9" s="248"/>
    </row>
    <row r="10" spans="2:15" x14ac:dyDescent="0.45">
      <c r="C10" s="195"/>
      <c r="D10" s="195"/>
      <c r="E10" s="195"/>
      <c r="H10" s="195"/>
      <c r="I10" s="195"/>
      <c r="J10" s="195"/>
    </row>
    <row r="11" spans="2:15" x14ac:dyDescent="0.45">
      <c r="C11" s="195"/>
      <c r="D11" s="195"/>
      <c r="E11" s="195"/>
      <c r="H11" s="195"/>
      <c r="I11" s="195"/>
      <c r="J11" s="195"/>
    </row>
    <row r="12" spans="2:15" x14ac:dyDescent="0.45">
      <c r="C12" s="195"/>
      <c r="D12" s="195"/>
      <c r="E12" s="195"/>
    </row>
    <row r="13" spans="2:15" x14ac:dyDescent="0.45">
      <c r="C13" s="195"/>
      <c r="D13" s="195"/>
      <c r="E13" s="195"/>
    </row>
    <row r="15" spans="2:15" ht="21" x14ac:dyDescent="0.65">
      <c r="B15" s="168" t="s">
        <v>68</v>
      </c>
      <c r="C15" s="167"/>
      <c r="D15" s="167"/>
      <c r="E15" s="167"/>
      <c r="F15" s="167"/>
      <c r="G15" s="167"/>
      <c r="H15" s="167"/>
      <c r="I15" s="167"/>
      <c r="J15" s="167"/>
      <c r="K15" s="167"/>
      <c r="L15" s="167"/>
      <c r="M15" s="167"/>
      <c r="N15" s="167"/>
    </row>
    <row r="16" spans="2:15" x14ac:dyDescent="0.45">
      <c r="B16" s="196" t="s">
        <v>66</v>
      </c>
      <c r="I16" s="197">
        <v>2025</v>
      </c>
      <c r="J16" s="197">
        <f>I16+1</f>
        <v>2026</v>
      </c>
      <c r="K16" s="197">
        <f t="shared" ref="K16:M16" si="4">J16+1</f>
        <v>2027</v>
      </c>
      <c r="L16" s="197">
        <f t="shared" si="4"/>
        <v>2028</v>
      </c>
      <c r="M16" s="197">
        <f t="shared" si="4"/>
        <v>2029</v>
      </c>
      <c r="N16" s="166" t="s">
        <v>10</v>
      </c>
    </row>
    <row r="18" spans="2:14" ht="14.25" hidden="1" customHeight="1" x14ac:dyDescent="0.45">
      <c r="I18">
        <v>1</v>
      </c>
      <c r="J18">
        <f>I18+1</f>
        <v>2</v>
      </c>
      <c r="K18">
        <f t="shared" ref="K18:N18" si="5">J18+1</f>
        <v>3</v>
      </c>
      <c r="L18">
        <f t="shared" si="5"/>
        <v>4</v>
      </c>
      <c r="M18">
        <f t="shared" si="5"/>
        <v>5</v>
      </c>
      <c r="N18">
        <f t="shared" si="5"/>
        <v>6</v>
      </c>
    </row>
    <row r="19" spans="2:14" x14ac:dyDescent="0.45">
      <c r="B19" s="2" t="s">
        <v>4</v>
      </c>
      <c r="H19" s="249">
        <f>C6</f>
        <v>0.5</v>
      </c>
      <c r="I19" s="157">
        <f>H19+$C$9</f>
        <v>0.55000000000000004</v>
      </c>
      <c r="J19" s="158">
        <f t="shared" ref="J19:M19" si="6">I19+$C$9</f>
        <v>0.60000000000000009</v>
      </c>
      <c r="K19" s="158">
        <f t="shared" si="6"/>
        <v>0.65000000000000013</v>
      </c>
      <c r="L19" s="158">
        <f t="shared" si="6"/>
        <v>0.70000000000000018</v>
      </c>
      <c r="M19" s="158">
        <f t="shared" si="6"/>
        <v>0.75000000000000022</v>
      </c>
      <c r="N19" s="159">
        <f>M19</f>
        <v>0.75000000000000022</v>
      </c>
    </row>
    <row r="22" spans="2:14" ht="14.25" hidden="1" customHeight="1" x14ac:dyDescent="0.45">
      <c r="I22">
        <v>1</v>
      </c>
      <c r="J22">
        <f>I22+1</f>
        <v>2</v>
      </c>
      <c r="K22">
        <f>J22+1</f>
        <v>3</v>
      </c>
      <c r="L22">
        <f>K22+1</f>
        <v>4</v>
      </c>
      <c r="M22">
        <f>L22+1</f>
        <v>5</v>
      </c>
      <c r="N22">
        <f t="shared" ref="N22" si="7">M22+1</f>
        <v>6</v>
      </c>
    </row>
    <row r="23" spans="2:14" x14ac:dyDescent="0.45">
      <c r="B23" s="2" t="s">
        <v>5</v>
      </c>
      <c r="H23" s="249">
        <f>D6</f>
        <v>0.55000000000000004</v>
      </c>
      <c r="I23" s="157">
        <f>H23+$D$9</f>
        <v>0.55000000000000004</v>
      </c>
      <c r="J23" s="158">
        <f t="shared" ref="J23:N23" si="8">I23+$D$9</f>
        <v>0.55000000000000004</v>
      </c>
      <c r="K23" s="158">
        <f t="shared" si="8"/>
        <v>0.55000000000000004</v>
      </c>
      <c r="L23" s="158">
        <f t="shared" si="8"/>
        <v>0.55000000000000004</v>
      </c>
      <c r="M23" s="158">
        <f t="shared" si="8"/>
        <v>0.55000000000000004</v>
      </c>
      <c r="N23" s="159">
        <f t="shared" si="8"/>
        <v>0.55000000000000004</v>
      </c>
    </row>
    <row r="26" spans="2:14" ht="14.25" hidden="1" customHeight="1" x14ac:dyDescent="0.45">
      <c r="I26">
        <v>1</v>
      </c>
      <c r="J26">
        <f>I26+1</f>
        <v>2</v>
      </c>
      <c r="K26">
        <f t="shared" ref="K26:M26" si="9">J26+1</f>
        <v>3</v>
      </c>
      <c r="L26">
        <f t="shared" si="9"/>
        <v>4</v>
      </c>
      <c r="M26">
        <f t="shared" si="9"/>
        <v>5</v>
      </c>
      <c r="N26">
        <f t="shared" ref="N26" si="10">M26+1</f>
        <v>6</v>
      </c>
    </row>
    <row r="27" spans="2:14" x14ac:dyDescent="0.45">
      <c r="B27" s="2" t="s">
        <v>6</v>
      </c>
      <c r="H27" s="249">
        <f>E6</f>
        <v>0.6</v>
      </c>
      <c r="I27" s="157">
        <f>H27+$E$9</f>
        <v>0.54999999999999993</v>
      </c>
      <c r="J27" s="158">
        <f t="shared" ref="J27:M27" si="11">I27+$E$9</f>
        <v>0.49999999999999994</v>
      </c>
      <c r="K27" s="158">
        <f t="shared" si="11"/>
        <v>0.44999999999999996</v>
      </c>
      <c r="L27" s="158">
        <f t="shared" si="11"/>
        <v>0.39999999999999997</v>
      </c>
      <c r="M27" s="158">
        <f t="shared" si="11"/>
        <v>0.35</v>
      </c>
      <c r="N27" s="159">
        <f>M27</f>
        <v>0.35</v>
      </c>
    </row>
    <row r="28" spans="2:14" x14ac:dyDescent="0.45">
      <c r="B28" s="2"/>
      <c r="I28" s="4"/>
      <c r="J28" s="4"/>
      <c r="K28" s="4"/>
      <c r="L28" s="4"/>
      <c r="M28" s="4"/>
      <c r="N28" s="4"/>
    </row>
    <row r="29" spans="2:14" ht="21" x14ac:dyDescent="0.65">
      <c r="B29" s="168" t="s">
        <v>89</v>
      </c>
      <c r="C29" s="167"/>
      <c r="D29" s="167"/>
      <c r="E29" s="167"/>
      <c r="F29" s="167"/>
      <c r="G29" s="167"/>
      <c r="H29" s="167"/>
      <c r="I29" s="167"/>
      <c r="J29" s="167"/>
      <c r="K29" s="167"/>
      <c r="L29" s="167"/>
      <c r="M29" s="167"/>
      <c r="N29" s="167"/>
    </row>
    <row r="30" spans="2:14" x14ac:dyDescent="0.45">
      <c r="B30" s="196" t="s">
        <v>66</v>
      </c>
      <c r="I30" s="197">
        <v>2025</v>
      </c>
      <c r="J30" s="197">
        <f>I30+1</f>
        <v>2026</v>
      </c>
      <c r="K30" s="197">
        <f t="shared" ref="K30" si="12">J30+1</f>
        <v>2027</v>
      </c>
      <c r="L30" s="197">
        <f t="shared" ref="L30" si="13">K30+1</f>
        <v>2028</v>
      </c>
      <c r="M30" s="197">
        <f t="shared" ref="M30" si="14">L30+1</f>
        <v>2029</v>
      </c>
      <c r="N30" s="166" t="s">
        <v>10</v>
      </c>
    </row>
    <row r="32" spans="2:14" x14ac:dyDescent="0.45">
      <c r="I32">
        <v>1</v>
      </c>
      <c r="J32">
        <f>I32+1</f>
        <v>2</v>
      </c>
      <c r="K32">
        <f t="shared" ref="K32" si="15">J32+1</f>
        <v>3</v>
      </c>
      <c r="L32">
        <f t="shared" ref="L32" si="16">K32+1</f>
        <v>4</v>
      </c>
      <c r="M32">
        <f t="shared" ref="M32" si="17">L32+1</f>
        <v>5</v>
      </c>
      <c r="N32">
        <f t="shared" ref="N32" si="18">M32+1</f>
        <v>6</v>
      </c>
    </row>
    <row r="33" spans="2:14" x14ac:dyDescent="0.45">
      <c r="B33" s="2" t="s">
        <v>4</v>
      </c>
      <c r="H33" s="249">
        <f>H6</f>
        <v>0.9</v>
      </c>
      <c r="I33" s="157">
        <f>H33+$H$9</f>
        <v>0.93</v>
      </c>
      <c r="J33" s="158">
        <f t="shared" ref="J33:M33" si="19">I33+$H$9</f>
        <v>0.96000000000000008</v>
      </c>
      <c r="K33" s="158">
        <f t="shared" si="19"/>
        <v>0.9900000000000001</v>
      </c>
      <c r="L33" s="158">
        <f t="shared" si="19"/>
        <v>1.02</v>
      </c>
      <c r="M33" s="158">
        <f t="shared" si="19"/>
        <v>1.05</v>
      </c>
      <c r="N33" s="159">
        <f>M33</f>
        <v>1.05</v>
      </c>
    </row>
    <row r="36" spans="2:14" x14ac:dyDescent="0.45">
      <c r="I36">
        <v>1</v>
      </c>
      <c r="J36">
        <f>I36+1</f>
        <v>2</v>
      </c>
      <c r="K36">
        <f>J36+1</f>
        <v>3</v>
      </c>
      <c r="L36">
        <f>K36+1</f>
        <v>4</v>
      </c>
      <c r="M36">
        <f>L36+1</f>
        <v>5</v>
      </c>
      <c r="N36">
        <f t="shared" ref="N36" si="20">M36+1</f>
        <v>6</v>
      </c>
    </row>
    <row r="37" spans="2:14" x14ac:dyDescent="0.45">
      <c r="B37" s="2" t="s">
        <v>5</v>
      </c>
      <c r="I37" s="157">
        <f>I6</f>
        <v>0.9</v>
      </c>
      <c r="J37" s="158">
        <f>I37</f>
        <v>0.9</v>
      </c>
      <c r="K37" s="158">
        <f t="shared" ref="K37:N37" si="21">J37</f>
        <v>0.9</v>
      </c>
      <c r="L37" s="158">
        <f t="shared" si="21"/>
        <v>0.9</v>
      </c>
      <c r="M37" s="158">
        <f t="shared" si="21"/>
        <v>0.9</v>
      </c>
      <c r="N37" s="159">
        <f t="shared" si="21"/>
        <v>0.9</v>
      </c>
    </row>
    <row r="40" spans="2:14" x14ac:dyDescent="0.45">
      <c r="I40">
        <v>1</v>
      </c>
      <c r="J40">
        <f>I40+1</f>
        <v>2</v>
      </c>
      <c r="K40">
        <f t="shared" ref="K40" si="22">J40+1</f>
        <v>3</v>
      </c>
      <c r="L40">
        <f t="shared" ref="L40" si="23">K40+1</f>
        <v>4</v>
      </c>
      <c r="M40">
        <f t="shared" ref="M40" si="24">L40+1</f>
        <v>5</v>
      </c>
      <c r="N40">
        <f t="shared" ref="N40" si="25">M40+1</f>
        <v>6</v>
      </c>
    </row>
    <row r="41" spans="2:14" x14ac:dyDescent="0.45">
      <c r="B41" s="2" t="s">
        <v>6</v>
      </c>
      <c r="H41" s="249">
        <f>J6</f>
        <v>0.9</v>
      </c>
      <c r="I41" s="157">
        <f>H41+$J$9</f>
        <v>0.87</v>
      </c>
      <c r="J41" s="158">
        <f t="shared" ref="J41:M41" si="26">I41+$J$9</f>
        <v>0.84</v>
      </c>
      <c r="K41" s="158">
        <f t="shared" si="26"/>
        <v>0.80999999999999994</v>
      </c>
      <c r="L41" s="158">
        <f t="shared" si="26"/>
        <v>0.77999999999999992</v>
      </c>
      <c r="M41" s="158">
        <f t="shared" si="26"/>
        <v>0.74999999999999989</v>
      </c>
      <c r="N41" s="159">
        <f>M41</f>
        <v>0.74999999999999989</v>
      </c>
    </row>
    <row r="42" spans="2:14" x14ac:dyDescent="0.45">
      <c r="B42" s="2"/>
      <c r="I42" s="4"/>
      <c r="J42" s="4"/>
      <c r="K42" s="4"/>
      <c r="L42" s="4"/>
      <c r="M42" s="4"/>
      <c r="N42" s="4"/>
    </row>
    <row r="43" spans="2:14" ht="21" x14ac:dyDescent="0.65">
      <c r="B43" s="168" t="s">
        <v>67</v>
      </c>
      <c r="C43" s="167"/>
      <c r="D43" s="167"/>
      <c r="E43" s="167"/>
      <c r="F43" s="167"/>
      <c r="G43" s="167"/>
      <c r="H43" s="167"/>
      <c r="I43" s="167"/>
      <c r="J43" s="167"/>
      <c r="K43" s="167"/>
      <c r="L43" s="167"/>
      <c r="M43" s="167"/>
      <c r="N43" s="167"/>
    </row>
  </sheetData>
  <mergeCells count="3">
    <mergeCell ref="B4:E4"/>
    <mergeCell ref="G4:J4"/>
    <mergeCell ref="L4:O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M46"/>
  <sheetViews>
    <sheetView showGridLines="0" zoomScale="95" workbookViewId="0">
      <selection activeCell="I1" sqref="I1"/>
    </sheetView>
  </sheetViews>
  <sheetFormatPr defaultRowHeight="14.25" x14ac:dyDescent="0.45"/>
  <cols>
    <col min="2" max="2" width="15.9296875" bestFit="1" customWidth="1"/>
    <col min="3" max="3" width="20.265625" customWidth="1"/>
    <col min="4" max="4" width="16.1328125" customWidth="1"/>
    <col min="5" max="6" width="9.06640625" customWidth="1"/>
    <col min="8" max="13" width="9.46484375" bestFit="1" customWidth="1"/>
  </cols>
  <sheetData>
    <row r="1" spans="2:13" ht="46.9" customHeight="1" x14ac:dyDescent="0.45">
      <c r="B1" s="194" t="e" vm="1">
        <v>#VALUE!</v>
      </c>
    </row>
    <row r="2" spans="2:13" ht="18.75" customHeight="1" x14ac:dyDescent="0.65">
      <c r="B2" s="168" t="s">
        <v>60</v>
      </c>
      <c r="C2" s="167"/>
      <c r="D2" s="167"/>
      <c r="E2" s="167"/>
      <c r="F2" s="167"/>
      <c r="G2" s="167"/>
      <c r="H2" s="167"/>
      <c r="I2" s="167"/>
      <c r="J2" s="167"/>
      <c r="K2" s="167"/>
      <c r="L2" s="167"/>
      <c r="M2" s="167"/>
    </row>
    <row r="4" spans="2:13" x14ac:dyDescent="0.45">
      <c r="B4" s="2" t="s">
        <v>61</v>
      </c>
      <c r="C4">
        <v>1</v>
      </c>
      <c r="H4" s="163">
        <v>2026</v>
      </c>
      <c r="I4" s="163">
        <f>H4+1</f>
        <v>2027</v>
      </c>
      <c r="J4" s="163">
        <f>I4+1</f>
        <v>2028</v>
      </c>
      <c r="K4" s="163">
        <f>J4+1</f>
        <v>2029</v>
      </c>
      <c r="L4" s="163">
        <f>K4+1</f>
        <v>2030</v>
      </c>
      <c r="M4" s="164" t="s">
        <v>10</v>
      </c>
    </row>
    <row r="6" spans="2:13" x14ac:dyDescent="0.45">
      <c r="B6" s="2" t="s">
        <v>12</v>
      </c>
      <c r="H6" s="160" cm="1">
        <f t="array" ref="H6">INDEX(H8:H10,$C$4)</f>
        <v>0.55000000000000004</v>
      </c>
      <c r="I6" s="161" cm="1">
        <f t="array" ref="I6">INDEX(I8:I10,$C$4)</f>
        <v>0.60000000000000009</v>
      </c>
      <c r="J6" s="161" cm="1">
        <f t="array" ref="J6">INDEX(J8:J10,$C$4)</f>
        <v>0.65000000000000013</v>
      </c>
      <c r="K6" s="161" cm="1">
        <f t="array" ref="K6">INDEX(K8:K10,$C$4)</f>
        <v>0.70000000000000018</v>
      </c>
      <c r="L6" s="161" cm="1">
        <f t="array" ref="L6">INDEX(L8:L10,$C$4)</f>
        <v>0.75000000000000022</v>
      </c>
      <c r="M6" s="162" cm="1">
        <f t="array" ref="M6">INDEX(M8:M10,$C$4)</f>
        <v>0.75000000000000022</v>
      </c>
    </row>
    <row r="7" spans="2:13" x14ac:dyDescent="0.45">
      <c r="H7" s="1"/>
      <c r="I7" s="1"/>
      <c r="J7" s="1"/>
      <c r="K7" s="1"/>
      <c r="L7" s="1"/>
      <c r="M7" s="1"/>
    </row>
    <row r="8" spans="2:13" x14ac:dyDescent="0.45">
      <c r="B8" s="3" t="s">
        <v>4</v>
      </c>
      <c r="H8" s="1">
        <f>'Growth Factors'!I19</f>
        <v>0.55000000000000004</v>
      </c>
      <c r="I8" s="1">
        <f>'Growth Factors'!J19</f>
        <v>0.60000000000000009</v>
      </c>
      <c r="J8" s="1">
        <f>'Growth Factors'!K19</f>
        <v>0.65000000000000013</v>
      </c>
      <c r="K8" s="1">
        <f>'Growth Factors'!L19</f>
        <v>0.70000000000000018</v>
      </c>
      <c r="L8" s="1">
        <f>'Growth Factors'!M19</f>
        <v>0.75000000000000022</v>
      </c>
      <c r="M8" s="1">
        <f>'Growth Factors'!N19</f>
        <v>0.75000000000000022</v>
      </c>
    </row>
    <row r="9" spans="2:13" x14ac:dyDescent="0.45">
      <c r="B9" s="3" t="s">
        <v>5</v>
      </c>
      <c r="H9" s="1">
        <f>'Growth Factors'!I23</f>
        <v>0.55000000000000004</v>
      </c>
      <c r="I9" s="1">
        <f>'Growth Factors'!J23</f>
        <v>0.55000000000000004</v>
      </c>
      <c r="J9" s="1">
        <f>'Growth Factors'!K23</f>
        <v>0.55000000000000004</v>
      </c>
      <c r="K9" s="1">
        <f>'Growth Factors'!L23</f>
        <v>0.55000000000000004</v>
      </c>
      <c r="L9" s="1">
        <f>'Growth Factors'!M23</f>
        <v>0.55000000000000004</v>
      </c>
      <c r="M9" s="1">
        <f>'Growth Factors'!N23</f>
        <v>0.55000000000000004</v>
      </c>
    </row>
    <row r="10" spans="2:13" x14ac:dyDescent="0.45">
      <c r="B10" s="3" t="s">
        <v>6</v>
      </c>
      <c r="H10" s="1">
        <f>'Growth Factors'!I27</f>
        <v>0.54999999999999993</v>
      </c>
      <c r="I10" s="1">
        <f>'Growth Factors'!J27</f>
        <v>0.49999999999999994</v>
      </c>
      <c r="J10" s="1">
        <f>'Growth Factors'!K27</f>
        <v>0.44999999999999996</v>
      </c>
      <c r="K10" s="1">
        <f>'Growth Factors'!L27</f>
        <v>0.39999999999999997</v>
      </c>
      <c r="L10" s="1">
        <f>'Growth Factors'!M27</f>
        <v>0.35</v>
      </c>
      <c r="M10" s="1">
        <f>'Growth Factors'!N27</f>
        <v>0.35</v>
      </c>
    </row>
    <row r="12" spans="2:13" x14ac:dyDescent="0.45">
      <c r="B12" s="2" t="s">
        <v>59</v>
      </c>
      <c r="H12" s="229" cm="1">
        <f t="array" ref="H12">INDEX(H14:H16,$C$4)</f>
        <v>6000</v>
      </c>
      <c r="I12" s="230" cm="1">
        <f t="array" ref="I12">INDEX(I14:I16,$C$4)</f>
        <v>6000</v>
      </c>
      <c r="J12" s="230" cm="1">
        <f t="array" ref="J12">INDEX(J14:J16,$C$4)</f>
        <v>6000</v>
      </c>
      <c r="K12" s="230" cm="1">
        <f t="array" ref="K12">INDEX(K14:K16,$C$4)</f>
        <v>6000</v>
      </c>
      <c r="L12" s="230" cm="1">
        <f t="array" ref="L12">INDEX(L14:L16,$C$4)</f>
        <v>6000</v>
      </c>
      <c r="M12" s="231" cm="1">
        <f t="array" ref="M12">INDEX(M14:M16,$C$4)</f>
        <v>6000</v>
      </c>
    </row>
    <row r="13" spans="2:13" x14ac:dyDescent="0.45">
      <c r="H13" s="1"/>
      <c r="I13" s="1"/>
      <c r="J13" s="1"/>
      <c r="K13" s="1"/>
      <c r="L13" s="1"/>
      <c r="M13" s="1"/>
    </row>
    <row r="14" spans="2:13" ht="15" x14ac:dyDescent="0.55000000000000004">
      <c r="B14" s="3" t="s">
        <v>4</v>
      </c>
      <c r="H14" s="106">
        <v>6000</v>
      </c>
      <c r="I14" s="106">
        <v>6000</v>
      </c>
      <c r="J14" s="106">
        <v>6000</v>
      </c>
      <c r="K14" s="106">
        <v>6000</v>
      </c>
      <c r="L14" s="106">
        <v>6000</v>
      </c>
      <c r="M14" s="106">
        <v>6000</v>
      </c>
    </row>
    <row r="15" spans="2:13" ht="15" x14ac:dyDescent="0.55000000000000004">
      <c r="B15" s="3" t="s">
        <v>5</v>
      </c>
      <c r="H15" s="106">
        <v>4000</v>
      </c>
      <c r="I15" s="106">
        <v>4000</v>
      </c>
      <c r="J15" s="106">
        <v>4000</v>
      </c>
      <c r="K15" s="106">
        <v>4000</v>
      </c>
      <c r="L15" s="106">
        <v>4000</v>
      </c>
      <c r="M15" s="106">
        <v>4000</v>
      </c>
    </row>
    <row r="16" spans="2:13" ht="15" x14ac:dyDescent="0.55000000000000004">
      <c r="B16" s="3" t="s">
        <v>6</v>
      </c>
      <c r="H16" s="106">
        <v>2000</v>
      </c>
      <c r="I16" s="106">
        <v>2000</v>
      </c>
      <c r="J16" s="106">
        <v>2000</v>
      </c>
      <c r="K16" s="106">
        <v>2000</v>
      </c>
      <c r="L16" s="106">
        <v>2000</v>
      </c>
      <c r="M16" s="106">
        <v>2000</v>
      </c>
    </row>
    <row r="17" spans="2:13" x14ac:dyDescent="0.45">
      <c r="B17" s="3"/>
      <c r="H17" s="193"/>
      <c r="I17" s="193"/>
      <c r="J17" s="193"/>
      <c r="K17" s="193"/>
      <c r="L17" s="193"/>
      <c r="M17" s="193"/>
    </row>
    <row r="18" spans="2:13" ht="15" x14ac:dyDescent="0.55000000000000004">
      <c r="B18" s="2" t="s">
        <v>21</v>
      </c>
      <c r="H18" s="239" cm="1">
        <f t="array" ref="H18">INDEX(H20:H22,$C$4)</f>
        <v>-11160</v>
      </c>
      <c r="I18" s="240" cm="1">
        <f t="array" ref="I18">INDEX(I20:I22,$C$4)</f>
        <v>-10713.6</v>
      </c>
      <c r="J18" s="240" cm="1">
        <f t="array" ref="J18">INDEX(J20:J22,$C$4)</f>
        <v>-10606.464000000002</v>
      </c>
      <c r="K18" s="240" cm="1">
        <f t="array" ref="K18">INDEX(K20:K22,$C$4)</f>
        <v>-10818.593280000003</v>
      </c>
      <c r="L18" s="240" cm="1">
        <f t="array" ref="L18">INDEX(L20:L22,$C$4)</f>
        <v>-11359.522944000004</v>
      </c>
      <c r="M18" s="241" cm="1">
        <f t="array" ref="M18">INDEX(M20:M22,$C$4)</f>
        <v>-11927.499091200005</v>
      </c>
    </row>
    <row r="19" spans="2:13" x14ac:dyDescent="0.45">
      <c r="H19" s="1"/>
      <c r="I19" s="1"/>
      <c r="J19" s="1"/>
      <c r="K19" s="1"/>
      <c r="L19" s="1"/>
      <c r="M19" s="1"/>
    </row>
    <row r="20" spans="2:13" ht="15" x14ac:dyDescent="0.55000000000000004">
      <c r="B20" s="3" t="s">
        <v>4</v>
      </c>
      <c r="G20" s="256">
        <v>-12000</v>
      </c>
      <c r="H20" s="255">
        <f>G20*'Growth Factors'!I33</f>
        <v>-11160</v>
      </c>
      <c r="I20" s="255">
        <f>H20*'Growth Factors'!J33</f>
        <v>-10713.6</v>
      </c>
      <c r="J20" s="255">
        <f>I20*'Growth Factors'!K33</f>
        <v>-10606.464000000002</v>
      </c>
      <c r="K20" s="255">
        <f>J20*'Growth Factors'!L33</f>
        <v>-10818.593280000003</v>
      </c>
      <c r="L20" s="255">
        <f>K20*'Growth Factors'!M33</f>
        <v>-11359.522944000004</v>
      </c>
      <c r="M20" s="255">
        <f>L20*'Growth Factors'!N33</f>
        <v>-11927.499091200005</v>
      </c>
    </row>
    <row r="21" spans="2:13" ht="15" x14ac:dyDescent="0.55000000000000004">
      <c r="B21" s="3" t="s">
        <v>5</v>
      </c>
      <c r="G21" s="256">
        <v>-10000</v>
      </c>
      <c r="H21" s="255">
        <f>G21*'Growth Factors'!I37</f>
        <v>-9000</v>
      </c>
      <c r="I21" s="255">
        <f>H21*'Growth Factors'!J37</f>
        <v>-8100</v>
      </c>
      <c r="J21" s="255">
        <f>I21*'Growth Factors'!K37</f>
        <v>-7290</v>
      </c>
      <c r="K21" s="255">
        <f>J21*'Growth Factors'!L37</f>
        <v>-6561</v>
      </c>
      <c r="L21" s="255">
        <f>K21*'Growth Factors'!M37</f>
        <v>-5904.9000000000005</v>
      </c>
      <c r="M21" s="255">
        <f>L21*'Growth Factors'!N37</f>
        <v>-5314.4100000000008</v>
      </c>
    </row>
    <row r="22" spans="2:13" ht="15" x14ac:dyDescent="0.55000000000000004">
      <c r="B22" s="3" t="s">
        <v>6</v>
      </c>
      <c r="G22" s="256">
        <v>-8000</v>
      </c>
      <c r="H22" s="255">
        <f>G22*'Growth Factors'!I41</f>
        <v>-6960</v>
      </c>
      <c r="I22" s="255">
        <f>H22*'Growth Factors'!J41</f>
        <v>-5846.4</v>
      </c>
      <c r="J22" s="255">
        <f>I22*'Growth Factors'!K41</f>
        <v>-4735.5839999999989</v>
      </c>
      <c r="K22" s="255">
        <f>J22*'Growth Factors'!L41</f>
        <v>-3693.7555199999988</v>
      </c>
      <c r="L22" s="255">
        <f>K22*'Growth Factors'!M41</f>
        <v>-2770.3166399999986</v>
      </c>
      <c r="M22" s="255">
        <f>L22*'Growth Factors'!N41</f>
        <v>-2077.7374799999989</v>
      </c>
    </row>
    <row r="24" spans="2:13" ht="21" x14ac:dyDescent="0.65">
      <c r="B24" s="168" t="s">
        <v>70</v>
      </c>
      <c r="C24" s="167"/>
      <c r="D24" s="167"/>
      <c r="E24" s="167"/>
      <c r="F24" s="167"/>
      <c r="G24" s="167"/>
      <c r="H24" s="167"/>
      <c r="I24" s="167"/>
      <c r="J24" s="167"/>
      <c r="K24" s="167"/>
      <c r="L24" s="167"/>
      <c r="M24" s="167"/>
    </row>
    <row r="26" spans="2:13" x14ac:dyDescent="0.45">
      <c r="B26" s="2" t="s">
        <v>0</v>
      </c>
      <c r="D26" s="2"/>
      <c r="F26" s="166" t="s">
        <v>1</v>
      </c>
    </row>
    <row r="27" spans="2:13" ht="15" x14ac:dyDescent="0.55000000000000004">
      <c r="B27" t="s">
        <v>2</v>
      </c>
      <c r="F27" s="245" cm="1">
        <f t="array" aca="1" ref="F27" ca="1">_FV(B1,"Price")</f>
        <v>176.97</v>
      </c>
    </row>
    <row r="28" spans="2:13" ht="15" x14ac:dyDescent="0.55000000000000004">
      <c r="B28" t="s">
        <v>87</v>
      </c>
      <c r="F28" s="246" cm="1">
        <f t="array" aca="1" ref="F28" ca="1">_FV(B1,"Shares outstanding",TRUE)/1000000</f>
        <v>24300</v>
      </c>
    </row>
    <row r="29" spans="2:13" ht="15" x14ac:dyDescent="0.55000000000000004">
      <c r="B29" t="s">
        <v>86</v>
      </c>
      <c r="F29" s="246">
        <v>16300</v>
      </c>
    </row>
    <row r="30" spans="2:13" ht="15" x14ac:dyDescent="0.55000000000000004">
      <c r="B30" t="s">
        <v>90</v>
      </c>
      <c r="F30" s="247">
        <v>0.16</v>
      </c>
    </row>
    <row r="32" spans="2:13" ht="15.75" x14ac:dyDescent="0.55000000000000004">
      <c r="B32" s="48" t="s">
        <v>71</v>
      </c>
      <c r="C32" s="199"/>
      <c r="D32" s="199"/>
      <c r="E32" s="200"/>
      <c r="F32" s="200"/>
      <c r="G32" s="201"/>
      <c r="I32" s="48" t="s">
        <v>72</v>
      </c>
      <c r="J32" s="199"/>
      <c r="K32" s="199"/>
      <c r="L32" s="199"/>
      <c r="M32" s="202"/>
    </row>
    <row r="33" spans="2:13" ht="15.75" x14ac:dyDescent="0.55000000000000004">
      <c r="B33" s="203"/>
      <c r="C33" s="204"/>
      <c r="D33" s="204"/>
      <c r="E33" s="204"/>
      <c r="F33" s="204"/>
      <c r="G33" s="201"/>
      <c r="I33" s="204"/>
      <c r="J33" s="204"/>
      <c r="K33" s="204"/>
      <c r="L33" s="204"/>
      <c r="M33" s="204"/>
    </row>
    <row r="34" spans="2:13" ht="16.149999999999999" thickBot="1" x14ac:dyDescent="0.6">
      <c r="B34" s="9"/>
      <c r="C34" s="203"/>
      <c r="D34" s="203"/>
      <c r="E34" s="205" t="s">
        <v>73</v>
      </c>
      <c r="F34" s="205" t="s">
        <v>74</v>
      </c>
      <c r="G34" s="201"/>
      <c r="I34" s="18" t="s">
        <v>75</v>
      </c>
      <c r="J34" s="17"/>
      <c r="K34" s="203"/>
      <c r="L34" s="17"/>
      <c r="M34" s="206">
        <v>4.8009367681498827E-2</v>
      </c>
    </row>
    <row r="35" spans="2:13" ht="15.75" x14ac:dyDescent="0.55000000000000004">
      <c r="B35" s="18" t="s">
        <v>3</v>
      </c>
      <c r="C35" s="17"/>
      <c r="D35" s="207">
        <v>8463</v>
      </c>
      <c r="E35" s="225">
        <f ca="1">D35/D37</f>
        <v>1.9641044421762361E-3</v>
      </c>
      <c r="F35" s="224">
        <v>2E-3</v>
      </c>
      <c r="G35" s="84"/>
      <c r="I35" s="18" t="s">
        <v>16</v>
      </c>
      <c r="J35" s="203"/>
      <c r="K35" s="203"/>
      <c r="L35" s="203"/>
      <c r="M35" s="209">
        <v>0.14680000000000001</v>
      </c>
    </row>
    <row r="36" spans="2:13" ht="15.75" x14ac:dyDescent="0.55000000000000004">
      <c r="B36" s="18" t="s">
        <v>76</v>
      </c>
      <c r="C36" s="203"/>
      <c r="D36" s="210" cm="1">
        <f t="array" aca="1" ref="D36" ca="1">_FV(B1,"Market cap",TRUE)/1000000</f>
        <v>4300371</v>
      </c>
      <c r="E36" s="226">
        <f ca="1">D36/D37</f>
        <v>0.99803589555782379</v>
      </c>
      <c r="F36" s="226">
        <f ca="1">F37-F35</f>
        <v>0.998</v>
      </c>
      <c r="G36" s="84"/>
      <c r="I36" s="18" t="s">
        <v>77</v>
      </c>
      <c r="J36" s="203"/>
      <c r="K36" s="203"/>
      <c r="L36" s="203"/>
      <c r="M36" s="225">
        <f>M34*(1-M35)</f>
        <v>4.0961592505854794E-2</v>
      </c>
    </row>
    <row r="37" spans="2:13" ht="15.75" x14ac:dyDescent="0.55000000000000004">
      <c r="B37" s="18" t="s">
        <v>78</v>
      </c>
      <c r="C37" s="203"/>
      <c r="D37" s="211">
        <f ca="1">SUM(D35:D36)</f>
        <v>4308834</v>
      </c>
      <c r="E37" s="208">
        <f ca="1">SUM(E35:E36)</f>
        <v>1</v>
      </c>
      <c r="F37" s="208">
        <f ca="1">E37</f>
        <v>1</v>
      </c>
      <c r="G37" s="84"/>
      <c r="I37" s="203"/>
      <c r="J37" s="203"/>
      <c r="K37" s="203"/>
      <c r="L37" s="203"/>
      <c r="M37" s="203"/>
    </row>
    <row r="38" spans="2:13" ht="15.75" x14ac:dyDescent="0.55000000000000004">
      <c r="B38" s="203"/>
      <c r="C38" s="203"/>
      <c r="D38" s="203"/>
      <c r="E38" s="203"/>
      <c r="F38" s="10"/>
      <c r="G38" s="201"/>
      <c r="I38" s="203"/>
      <c r="J38" s="203"/>
      <c r="K38" s="203"/>
      <c r="L38" s="203"/>
      <c r="M38" s="203"/>
    </row>
    <row r="39" spans="2:13" ht="15.75" x14ac:dyDescent="0.55000000000000004">
      <c r="B39" s="212" t="s">
        <v>79</v>
      </c>
      <c r="C39" s="213"/>
      <c r="D39" s="213"/>
      <c r="E39" s="223">
        <f ca="1">E35/E36</f>
        <v>1.9679697402851986E-3</v>
      </c>
      <c r="F39" s="223">
        <f ca="1">F35/F36</f>
        <v>2.004008016032064E-3</v>
      </c>
      <c r="G39" s="84"/>
      <c r="I39" s="48" t="s">
        <v>80</v>
      </c>
      <c r="J39" s="214"/>
      <c r="K39" s="199"/>
      <c r="L39" s="202"/>
      <c r="M39" s="199"/>
    </row>
    <row r="40" spans="2:13" ht="15.75" x14ac:dyDescent="0.55000000000000004">
      <c r="B40" s="215"/>
      <c r="C40" s="203"/>
      <c r="D40" s="203"/>
      <c r="E40" s="203"/>
      <c r="F40" s="203"/>
      <c r="G40" s="216"/>
      <c r="I40" s="204"/>
      <c r="J40" s="204"/>
      <c r="K40" s="204"/>
      <c r="L40" s="204"/>
      <c r="M40" s="204"/>
    </row>
    <row r="41" spans="2:13" ht="16.149999999999999" thickBot="1" x14ac:dyDescent="0.6">
      <c r="B41" s="37"/>
      <c r="C41" s="203"/>
      <c r="D41" s="203"/>
      <c r="E41" s="203"/>
      <c r="F41" s="203"/>
      <c r="G41" s="216"/>
      <c r="I41" s="17"/>
      <c r="J41" s="17"/>
      <c r="K41" s="17"/>
      <c r="L41" s="205" t="s">
        <v>81</v>
      </c>
      <c r="M41" s="205" t="s">
        <v>82</v>
      </c>
    </row>
    <row r="42" spans="2:13" ht="15.75" x14ac:dyDescent="0.55000000000000004">
      <c r="B42" s="217"/>
      <c r="C42" s="17"/>
      <c r="D42" s="218"/>
      <c r="E42" s="218"/>
      <c r="F42" s="218"/>
      <c r="G42" s="203"/>
      <c r="I42" s="18" t="s">
        <v>83</v>
      </c>
      <c r="J42" s="203"/>
      <c r="K42" s="84"/>
      <c r="L42" s="225">
        <f>F35</f>
        <v>2E-3</v>
      </c>
      <c r="M42" s="208">
        <f>M36</f>
        <v>4.0961592505854794E-2</v>
      </c>
    </row>
    <row r="43" spans="2:13" ht="15.75" x14ac:dyDescent="0.55000000000000004">
      <c r="B43" s="219"/>
      <c r="C43" s="17"/>
      <c r="D43" s="218"/>
      <c r="E43" s="218"/>
      <c r="F43" s="218"/>
      <c r="G43" s="203"/>
      <c r="I43" s="18" t="s">
        <v>84</v>
      </c>
      <c r="J43" s="203"/>
      <c r="K43" s="84"/>
      <c r="L43" s="225">
        <f ca="1">F36</f>
        <v>0.998</v>
      </c>
      <c r="M43" s="208">
        <f>F30</f>
        <v>0.16</v>
      </c>
    </row>
    <row r="44" spans="2:13" ht="15.75" x14ac:dyDescent="0.55000000000000004">
      <c r="B44" s="220"/>
      <c r="C44" s="203"/>
      <c r="D44" s="203"/>
      <c r="E44" s="203"/>
      <c r="F44" s="203"/>
      <c r="G44" s="203"/>
      <c r="I44" s="203"/>
      <c r="J44" s="203"/>
      <c r="K44" s="203"/>
      <c r="L44" s="203"/>
      <c r="M44" s="203"/>
    </row>
    <row r="45" spans="2:13" ht="15.75" x14ac:dyDescent="0.55000000000000004">
      <c r="B45" s="221"/>
      <c r="C45" s="203"/>
      <c r="D45" s="203"/>
      <c r="E45" s="203"/>
      <c r="F45" s="203"/>
      <c r="G45" s="203"/>
      <c r="I45" s="17"/>
      <c r="J45" s="17"/>
      <c r="K45" s="17"/>
      <c r="L45" s="17"/>
      <c r="M45" s="222"/>
    </row>
    <row r="46" spans="2:13" ht="16.149999999999999" thickBot="1" x14ac:dyDescent="0.6">
      <c r="B46" s="19"/>
      <c r="C46" s="17"/>
      <c r="D46" s="17"/>
      <c r="E46" s="17"/>
      <c r="F46" s="17"/>
      <c r="G46" s="17"/>
      <c r="I46" s="18" t="s">
        <v>80</v>
      </c>
      <c r="J46" s="203"/>
      <c r="K46" s="203"/>
      <c r="L46" s="17"/>
      <c r="M46" s="234">
        <f ca="1">L42*M42+L43*M43</f>
        <v>0.15976192318501173</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Drop Down 2">
              <controlPr defaultSize="0" autoLine="0" autoPict="0">
                <anchor moveWithCells="1">
                  <from>
                    <xdr:col>2</xdr:col>
                    <xdr:colOff>0</xdr:colOff>
                    <xdr:row>3</xdr:row>
                    <xdr:rowOff>0</xdr:rowOff>
                  </from>
                  <to>
                    <xdr:col>3</xdr:col>
                    <xdr:colOff>0</xdr:colOff>
                    <xdr:row>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9C10-1D0E-42AD-9162-F8813E4A3CB3}">
  <dimension ref="A1:K20"/>
  <sheetViews>
    <sheetView workbookViewId="0">
      <selection activeCell="H27" sqref="H27"/>
    </sheetView>
  </sheetViews>
  <sheetFormatPr defaultRowHeight="14.25" x14ac:dyDescent="0.45"/>
  <cols>
    <col min="1" max="1" width="10.53125" bestFit="1" customWidth="1"/>
  </cols>
  <sheetData>
    <row r="1" spans="1:11" ht="17.25" x14ac:dyDescent="0.45">
      <c r="A1" s="250">
        <v>115400</v>
      </c>
      <c r="B1" s="250">
        <v>97858</v>
      </c>
      <c r="C1" s="250">
        <v>44301</v>
      </c>
      <c r="D1" s="250">
        <v>15356</v>
      </c>
      <c r="E1" s="250">
        <v>17475</v>
      </c>
      <c r="F1" s="250">
        <v>10557</v>
      </c>
    </row>
    <row r="2" spans="1:11" x14ac:dyDescent="0.45">
      <c r="B2">
        <f t="shared" ref="B2:E2" si="0">A1/B1-1</f>
        <v>0.17925974371027409</v>
      </c>
      <c r="C2">
        <f>B1/C1-1</f>
        <v>1.208934335568046</v>
      </c>
      <c r="D2">
        <f t="shared" si="0"/>
        <v>1.8849309716071896</v>
      </c>
      <c r="E2">
        <f t="shared" si="0"/>
        <v>-0.12125894134477821</v>
      </c>
      <c r="F2">
        <f>E1/F1-1</f>
        <v>0.65529980107985231</v>
      </c>
    </row>
    <row r="4" spans="1:11" x14ac:dyDescent="0.45">
      <c r="B4">
        <f>AVERAGE(B2:F2)</f>
        <v>0.7614331821241167</v>
      </c>
    </row>
    <row r="5" spans="1:11" ht="28.5" x14ac:dyDescent="0.45">
      <c r="B5" s="251" t="s">
        <v>93</v>
      </c>
      <c r="C5" s="251" t="s">
        <v>94</v>
      </c>
    </row>
    <row r="6" spans="1:11" ht="57" x14ac:dyDescent="0.45">
      <c r="B6" s="252">
        <v>2013</v>
      </c>
      <c r="C6" s="252">
        <v>0.6</v>
      </c>
      <c r="D6">
        <f>C7/C6-1</f>
        <v>0.23333333333333339</v>
      </c>
      <c r="G6" s="251" t="s">
        <v>93</v>
      </c>
      <c r="H6" s="251" t="s">
        <v>95</v>
      </c>
      <c r="I6" s="251" t="s">
        <v>96</v>
      </c>
    </row>
    <row r="7" spans="1:11" x14ac:dyDescent="0.45">
      <c r="B7" s="252">
        <v>2014</v>
      </c>
      <c r="C7" s="252">
        <v>0.74</v>
      </c>
      <c r="D7">
        <f>C8/C7-1</f>
        <v>-6.7567567567567655E-2</v>
      </c>
      <c r="G7" s="252">
        <v>2013</v>
      </c>
      <c r="H7" s="253">
        <v>45684</v>
      </c>
      <c r="I7" s="252">
        <v>-112</v>
      </c>
      <c r="J7">
        <f>I7*-1</f>
        <v>112</v>
      </c>
      <c r="K7">
        <f>J8/J7-1</f>
        <v>-1.1071428571428572</v>
      </c>
    </row>
    <row r="8" spans="1:11" x14ac:dyDescent="0.45">
      <c r="B8" s="252">
        <v>2015</v>
      </c>
      <c r="C8" s="252">
        <v>0.69</v>
      </c>
      <c r="D8">
        <f t="shared" ref="D8:D17" si="1">C9/C8-1</f>
        <v>0.71014492753623193</v>
      </c>
      <c r="G8" s="252">
        <v>2014</v>
      </c>
      <c r="H8" s="253">
        <v>45683</v>
      </c>
      <c r="I8" s="252">
        <v>12</v>
      </c>
      <c r="J8">
        <f t="shared" ref="J8:J19" si="2">I8*-1</f>
        <v>-12</v>
      </c>
      <c r="K8">
        <f t="shared" ref="K8:K18" si="3">J9/J8-1</f>
        <v>-17.916666666666668</v>
      </c>
    </row>
    <row r="9" spans="1:11" x14ac:dyDescent="0.45">
      <c r="B9" s="252">
        <v>2016</v>
      </c>
      <c r="C9" s="252">
        <v>1.18</v>
      </c>
      <c r="D9">
        <f t="shared" si="1"/>
        <v>0.72033898305084731</v>
      </c>
      <c r="G9" s="252">
        <v>2015</v>
      </c>
      <c r="H9" s="253">
        <v>45682</v>
      </c>
      <c r="I9" s="252">
        <v>-203</v>
      </c>
      <c r="J9">
        <f t="shared" si="2"/>
        <v>203</v>
      </c>
      <c r="K9">
        <f t="shared" si="3"/>
        <v>-0.74876847290640391</v>
      </c>
    </row>
    <row r="10" spans="1:11" x14ac:dyDescent="0.45">
      <c r="B10" s="252">
        <v>2017</v>
      </c>
      <c r="C10" s="252">
        <v>2.0299999999999998</v>
      </c>
      <c r="D10">
        <f t="shared" si="1"/>
        <v>0.87192118226601001</v>
      </c>
      <c r="G10" s="252">
        <v>2016</v>
      </c>
      <c r="H10" s="253">
        <v>45688</v>
      </c>
      <c r="I10" s="252">
        <v>-51</v>
      </c>
      <c r="J10">
        <f t="shared" si="2"/>
        <v>51</v>
      </c>
      <c r="K10">
        <f t="shared" si="3"/>
        <v>12.313725490196079</v>
      </c>
    </row>
    <row r="11" spans="1:11" x14ac:dyDescent="0.45">
      <c r="B11" s="252">
        <v>2018</v>
      </c>
      <c r="C11" s="252">
        <v>3.8</v>
      </c>
      <c r="D11">
        <f t="shared" si="1"/>
        <v>0.10526315789473695</v>
      </c>
      <c r="G11" s="252">
        <v>2017</v>
      </c>
      <c r="H11" s="253">
        <v>45686</v>
      </c>
      <c r="I11" s="252">
        <v>-679</v>
      </c>
      <c r="J11">
        <f t="shared" si="2"/>
        <v>679</v>
      </c>
      <c r="K11">
        <f t="shared" si="3"/>
        <v>-1.2724594992636229</v>
      </c>
    </row>
    <row r="12" spans="1:11" x14ac:dyDescent="0.45">
      <c r="B12" s="252">
        <v>2019</v>
      </c>
      <c r="C12" s="252">
        <v>4.2</v>
      </c>
      <c r="D12">
        <f t="shared" si="1"/>
        <v>-9.5238095238095344E-2</v>
      </c>
      <c r="G12" s="252">
        <v>2018</v>
      </c>
      <c r="H12" s="253">
        <v>45685</v>
      </c>
      <c r="I12" s="252">
        <v>185</v>
      </c>
      <c r="J12">
        <f t="shared" si="2"/>
        <v>-185</v>
      </c>
      <c r="K12">
        <f t="shared" si="3"/>
        <v>-5.6324324324324326</v>
      </c>
    </row>
    <row r="13" spans="1:11" x14ac:dyDescent="0.45">
      <c r="B13" s="252">
        <v>2020</v>
      </c>
      <c r="C13" s="252">
        <v>3.8</v>
      </c>
      <c r="D13">
        <f t="shared" si="1"/>
        <v>0.40263157894736845</v>
      </c>
      <c r="G13" s="252">
        <v>2019</v>
      </c>
      <c r="H13" s="253">
        <v>45684</v>
      </c>
      <c r="I13" s="252">
        <v>-857</v>
      </c>
      <c r="J13">
        <f t="shared" si="2"/>
        <v>857</v>
      </c>
      <c r="K13">
        <f t="shared" si="3"/>
        <v>-1.836639439906651</v>
      </c>
    </row>
    <row r="14" spans="1:11" x14ac:dyDescent="0.45">
      <c r="B14" s="252">
        <v>2021</v>
      </c>
      <c r="C14" s="252">
        <v>5.33</v>
      </c>
      <c r="D14">
        <f t="shared" si="1"/>
        <v>1.1294559099437147</v>
      </c>
      <c r="G14" s="252">
        <v>2020</v>
      </c>
      <c r="H14" s="253">
        <v>45683</v>
      </c>
      <c r="I14" s="252">
        <v>717</v>
      </c>
      <c r="J14">
        <f t="shared" si="2"/>
        <v>-717</v>
      </c>
      <c r="K14">
        <f t="shared" si="3"/>
        <v>-1.9804741980474199</v>
      </c>
    </row>
    <row r="15" spans="1:11" x14ac:dyDescent="0.45">
      <c r="B15" s="252">
        <v>2022</v>
      </c>
      <c r="C15" s="252">
        <v>11.35</v>
      </c>
      <c r="D15">
        <f t="shared" si="1"/>
        <v>-0.47224669603524227</v>
      </c>
      <c r="G15" s="252">
        <v>2021</v>
      </c>
      <c r="H15" s="253">
        <v>45688</v>
      </c>
      <c r="I15" s="252">
        <v>-703</v>
      </c>
      <c r="J15">
        <f t="shared" si="2"/>
        <v>703</v>
      </c>
      <c r="K15">
        <f t="shared" si="3"/>
        <v>3.7837837837837842</v>
      </c>
    </row>
    <row r="16" spans="1:11" x14ac:dyDescent="0.45">
      <c r="B16" s="252">
        <v>2023</v>
      </c>
      <c r="C16" s="252">
        <v>5.99</v>
      </c>
      <c r="D16">
        <f t="shared" si="1"/>
        <v>4.9398998330550912</v>
      </c>
      <c r="G16" s="252">
        <v>2022</v>
      </c>
      <c r="H16" s="253">
        <v>45687</v>
      </c>
      <c r="I16" s="254">
        <v>-3363</v>
      </c>
      <c r="J16">
        <f t="shared" si="2"/>
        <v>3363</v>
      </c>
      <c r="K16">
        <f t="shared" si="3"/>
        <v>-0.34374070770145704</v>
      </c>
    </row>
    <row r="17" spans="2:11" x14ac:dyDescent="0.45">
      <c r="B17" s="252">
        <v>2024</v>
      </c>
      <c r="C17" s="252">
        <v>35.58</v>
      </c>
      <c r="D17">
        <f t="shared" si="1"/>
        <v>1.4210230466554243</v>
      </c>
      <c r="G17" s="252">
        <v>2023</v>
      </c>
      <c r="H17" s="253">
        <v>45686</v>
      </c>
      <c r="I17" s="254">
        <v>-2207</v>
      </c>
      <c r="J17">
        <f t="shared" si="2"/>
        <v>2207</v>
      </c>
      <c r="K17">
        <f t="shared" si="3"/>
        <v>0.68645219755323961</v>
      </c>
    </row>
    <row r="18" spans="2:11" x14ac:dyDescent="0.45">
      <c r="B18" s="252">
        <v>2025</v>
      </c>
      <c r="C18" s="252">
        <v>86.14</v>
      </c>
      <c r="G18" s="252">
        <v>2024</v>
      </c>
      <c r="H18" s="253">
        <v>45685</v>
      </c>
      <c r="I18" s="254">
        <v>-3722</v>
      </c>
      <c r="J18">
        <f t="shared" si="2"/>
        <v>3722</v>
      </c>
      <c r="K18">
        <f t="shared" si="3"/>
        <v>1.5209564750134335</v>
      </c>
    </row>
    <row r="19" spans="2:11" x14ac:dyDescent="0.45">
      <c r="C19">
        <f>AVERAGE(C6:C18)</f>
        <v>12.417692307692308</v>
      </c>
      <c r="G19" s="252">
        <v>2025</v>
      </c>
      <c r="H19" s="253">
        <v>45683</v>
      </c>
      <c r="I19" s="254">
        <v>-9383</v>
      </c>
      <c r="J19">
        <f t="shared" si="2"/>
        <v>9383</v>
      </c>
    </row>
    <row r="20" spans="2:11" x14ac:dyDescent="0.45">
      <c r="C20">
        <f>(C18-C6)^(1/12)-1</f>
        <v>0.44881890355308496</v>
      </c>
      <c r="D20">
        <f>AVERAGE(D6:D18)</f>
        <v>0.82491329948682102</v>
      </c>
      <c r="I20" t="e">
        <f>(I19-I7)^(1/12)-1</f>
        <v>#NUM!</v>
      </c>
      <c r="J20">
        <f>(J19-J7)^(1/12)-1</f>
        <v>1.1408876740107767</v>
      </c>
      <c r="K20">
        <f>AVERAGE(K7:K18)</f>
        <v>-1.044450527293415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B726-7A0F-46EE-8055-230FD7321CCB}">
  <sheetPr codeName="Sheet2"/>
  <dimension ref="B1:P111"/>
  <sheetViews>
    <sheetView showGridLines="0" tabSelected="1" zoomScale="71" zoomScaleNormal="70" workbookViewId="0">
      <selection activeCell="R12" sqref="R12"/>
    </sheetView>
  </sheetViews>
  <sheetFormatPr defaultRowHeight="14.25" x14ac:dyDescent="0.45"/>
  <cols>
    <col min="2" max="2" width="19.796875" customWidth="1"/>
    <col min="3" max="3" width="9.265625" bestFit="1" customWidth="1"/>
    <col min="4" max="8" width="11.73046875" customWidth="1"/>
    <col min="11" max="15" width="11.73046875" customWidth="1"/>
    <col min="16" max="16" width="10.6640625" customWidth="1"/>
  </cols>
  <sheetData>
    <row r="1" spans="2:16" ht="46.9" customHeight="1" x14ac:dyDescent="0.45">
      <c r="B1" s="194" t="e" vm="1">
        <f>Inputs!B1</f>
        <v>#VALUE!</v>
      </c>
    </row>
    <row r="2" spans="2:16" ht="20.65" x14ac:dyDescent="0.55000000000000004">
      <c r="B2" s="5" t="s">
        <v>8</v>
      </c>
      <c r="C2" s="128"/>
      <c r="D2" s="129"/>
      <c r="E2" s="129"/>
      <c r="F2" s="130"/>
      <c r="G2" s="130"/>
      <c r="H2" s="130"/>
      <c r="I2" s="130"/>
      <c r="J2" s="130"/>
      <c r="K2" s="130"/>
      <c r="L2" s="130"/>
      <c r="M2" s="130"/>
      <c r="N2" s="130"/>
      <c r="O2" s="130"/>
      <c r="P2" s="6"/>
    </row>
    <row r="3" spans="2:16" ht="20.65" x14ac:dyDescent="0.55000000000000004">
      <c r="B3" s="7"/>
      <c r="C3" s="131"/>
      <c r="D3" s="132"/>
      <c r="E3" s="132"/>
      <c r="F3" s="133"/>
      <c r="G3" s="133"/>
      <c r="H3" s="133"/>
      <c r="I3" s="133"/>
      <c r="J3" s="133"/>
      <c r="K3" s="133"/>
      <c r="L3" s="133"/>
      <c r="M3" s="133"/>
      <c r="N3" s="133"/>
      <c r="O3" s="133"/>
      <c r="P3" s="8"/>
    </row>
    <row r="4" spans="2:16" ht="21" thickBot="1" x14ac:dyDescent="0.6">
      <c r="B4" s="9" t="s">
        <v>85</v>
      </c>
      <c r="C4" s="131"/>
      <c r="D4" s="10"/>
      <c r="E4" s="10"/>
      <c r="F4" s="133"/>
      <c r="G4" s="134"/>
      <c r="H4" s="11">
        <f>I4-1</f>
        <v>2023</v>
      </c>
      <c r="I4" s="11">
        <f>J4-1</f>
        <v>2024</v>
      </c>
      <c r="J4" s="11">
        <v>2025</v>
      </c>
      <c r="K4" s="12">
        <v>2026</v>
      </c>
      <c r="L4" s="12">
        <f>K4+1</f>
        <v>2027</v>
      </c>
      <c r="M4" s="12">
        <f>L4+1</f>
        <v>2028</v>
      </c>
      <c r="N4" s="12">
        <f>M4+1</f>
        <v>2029</v>
      </c>
      <c r="O4" s="12">
        <f>N4+1</f>
        <v>2030</v>
      </c>
      <c r="P4" s="12" t="s">
        <v>10</v>
      </c>
    </row>
    <row r="5" spans="2:16" ht="20.65" x14ac:dyDescent="0.55000000000000004">
      <c r="B5" s="9"/>
      <c r="C5" s="131"/>
      <c r="D5" s="10"/>
      <c r="E5" s="10"/>
      <c r="F5" s="133"/>
      <c r="G5" s="134"/>
      <c r="H5" s="10"/>
      <c r="I5" s="10"/>
      <c r="J5" s="10"/>
      <c r="K5" s="134"/>
      <c r="L5" s="134"/>
      <c r="M5" s="134"/>
      <c r="N5" s="134"/>
      <c r="O5" s="134"/>
      <c r="P5" s="134"/>
    </row>
    <row r="6" spans="2:16" ht="20.65" x14ac:dyDescent="0.55000000000000004">
      <c r="B6" s="9"/>
      <c r="C6" s="131"/>
      <c r="D6" s="10"/>
      <c r="E6" s="10"/>
      <c r="F6" s="133"/>
      <c r="G6" s="134"/>
      <c r="H6" s="10"/>
      <c r="I6" s="10"/>
      <c r="J6" s="10"/>
      <c r="K6" s="134"/>
      <c r="L6" s="134"/>
      <c r="M6" s="134"/>
      <c r="N6" s="134"/>
      <c r="O6" s="134"/>
      <c r="P6" s="134"/>
    </row>
    <row r="7" spans="2:16" ht="20.65" x14ac:dyDescent="0.55000000000000004">
      <c r="B7" s="134"/>
      <c r="C7" s="13" t="s">
        <v>11</v>
      </c>
      <c r="D7" s="14"/>
      <c r="E7" s="10"/>
      <c r="F7" s="133"/>
      <c r="G7" s="134"/>
      <c r="H7" s="134"/>
      <c r="I7" s="10"/>
      <c r="J7" s="10"/>
      <c r="K7" s="134"/>
      <c r="L7" s="134"/>
      <c r="M7" s="134"/>
      <c r="N7" s="134"/>
      <c r="O7" s="134"/>
      <c r="P7" s="134"/>
    </row>
    <row r="8" spans="2:16" ht="20.65" x14ac:dyDescent="0.55000000000000004">
      <c r="B8" s="134"/>
      <c r="C8" s="13"/>
      <c r="D8" s="14"/>
      <c r="E8" s="10"/>
      <c r="F8" s="133"/>
      <c r="G8" s="134"/>
      <c r="H8" s="10"/>
      <c r="I8" s="10"/>
      <c r="J8" s="10"/>
      <c r="K8" s="134"/>
      <c r="L8" s="134"/>
      <c r="M8" s="134"/>
      <c r="N8" s="134"/>
      <c r="O8" s="134"/>
      <c r="P8" s="134"/>
    </row>
    <row r="9" spans="2:16" ht="23.65" customHeight="1" x14ac:dyDescent="0.55000000000000004">
      <c r="B9" s="134"/>
      <c r="C9" s="15" t="s">
        <v>12</v>
      </c>
      <c r="D9" s="10"/>
      <c r="E9" s="10"/>
      <c r="F9" s="133"/>
      <c r="G9" s="134"/>
      <c r="H9" s="135"/>
      <c r="I9" s="16">
        <f>I10/H10-1</f>
        <v>3.8426966292134832</v>
      </c>
      <c r="J9" s="16">
        <f>J10/I10-1</f>
        <v>1.4164733178654294</v>
      </c>
      <c r="K9" s="165">
        <f>Inputs!H6</f>
        <v>0.55000000000000004</v>
      </c>
      <c r="L9" s="165">
        <f>Inputs!I6</f>
        <v>0.60000000000000009</v>
      </c>
      <c r="M9" s="165">
        <f>Inputs!J6</f>
        <v>0.65000000000000013</v>
      </c>
      <c r="N9" s="165">
        <f>Inputs!K6</f>
        <v>0.70000000000000018</v>
      </c>
      <c r="O9" s="165">
        <f>Inputs!L6</f>
        <v>0.75000000000000022</v>
      </c>
      <c r="P9" s="165">
        <f>Inputs!M6</f>
        <v>0.75000000000000022</v>
      </c>
    </row>
    <row r="10" spans="2:16" ht="16.899999999999999" customHeight="1" x14ac:dyDescent="0.55000000000000004">
      <c r="B10" s="17"/>
      <c r="C10" s="18" t="s">
        <v>13</v>
      </c>
      <c r="D10" s="19"/>
      <c r="E10" s="19"/>
      <c r="F10" s="133"/>
      <c r="G10" s="17"/>
      <c r="H10" s="20">
        <v>7120</v>
      </c>
      <c r="I10" s="20">
        <v>34480</v>
      </c>
      <c r="J10" s="20">
        <v>83320</v>
      </c>
      <c r="K10" s="21">
        <f t="shared" ref="K10:P10" si="0">J10*(1+K9)</f>
        <v>129146</v>
      </c>
      <c r="L10" s="21">
        <f t="shared" si="0"/>
        <v>206633.60000000001</v>
      </c>
      <c r="M10" s="21">
        <f t="shared" si="0"/>
        <v>340945.44000000006</v>
      </c>
      <c r="N10" s="21">
        <f t="shared" si="0"/>
        <v>579607.24800000014</v>
      </c>
      <c r="O10" s="21">
        <f t="shared" si="0"/>
        <v>1014312.6840000004</v>
      </c>
      <c r="P10" s="21">
        <f t="shared" si="0"/>
        <v>1775047.1970000009</v>
      </c>
    </row>
    <row r="11" spans="2:16" ht="15.75" x14ac:dyDescent="0.55000000000000004">
      <c r="B11" s="17"/>
      <c r="C11" s="22"/>
      <c r="D11" s="19"/>
      <c r="E11" s="19"/>
      <c r="F11" s="133"/>
      <c r="G11" s="17"/>
      <c r="H11" s="136"/>
      <c r="I11" s="136"/>
      <c r="J11" s="136"/>
      <c r="K11" s="23"/>
      <c r="L11" s="23"/>
      <c r="M11" s="23"/>
      <c r="N11" s="23"/>
      <c r="O11" s="23"/>
      <c r="P11" s="24"/>
    </row>
    <row r="12" spans="2:16" ht="15.75" x14ac:dyDescent="0.55000000000000004">
      <c r="B12" s="17"/>
      <c r="C12" s="18" t="s">
        <v>14</v>
      </c>
      <c r="D12" s="17"/>
      <c r="E12" s="19"/>
      <c r="F12" s="133"/>
      <c r="G12" s="17"/>
      <c r="H12" s="242">
        <f>H10-H13</f>
        <v>1540</v>
      </c>
      <c r="I12" s="242">
        <f>I10-I13</f>
        <v>1510</v>
      </c>
      <c r="J12" s="242">
        <f>J10-J13</f>
        <v>1870</v>
      </c>
      <c r="K12" s="232">
        <f>Inputs!H12</f>
        <v>6000</v>
      </c>
      <c r="L12" s="232">
        <f>Inputs!I12</f>
        <v>6000</v>
      </c>
      <c r="M12" s="232">
        <f>Inputs!J12</f>
        <v>6000</v>
      </c>
      <c r="N12" s="232">
        <f>Inputs!K12</f>
        <v>6000</v>
      </c>
      <c r="O12" s="232">
        <f>Inputs!L12</f>
        <v>6000</v>
      </c>
      <c r="P12" s="233">
        <f>Inputs!M12</f>
        <v>6000</v>
      </c>
    </row>
    <row r="13" spans="2:16" ht="15.75" x14ac:dyDescent="0.55000000000000004">
      <c r="B13" s="17"/>
      <c r="C13" s="18" t="s">
        <v>15</v>
      </c>
      <c r="D13" s="17"/>
      <c r="E13" s="19"/>
      <c r="F13" s="133"/>
      <c r="G13" s="17"/>
      <c r="H13" s="20">
        <v>5580</v>
      </c>
      <c r="I13" s="20">
        <v>32970</v>
      </c>
      <c r="J13" s="20">
        <v>81450</v>
      </c>
      <c r="K13" s="25">
        <f t="shared" ref="K13:P13" si="1">K10-K12</f>
        <v>123146</v>
      </c>
      <c r="L13" s="25">
        <f t="shared" si="1"/>
        <v>200633.60000000001</v>
      </c>
      <c r="M13" s="25">
        <f t="shared" si="1"/>
        <v>334945.44000000006</v>
      </c>
      <c r="N13" s="25">
        <f t="shared" si="1"/>
        <v>573607.24800000014</v>
      </c>
      <c r="O13" s="25">
        <f t="shared" si="1"/>
        <v>1008312.6840000004</v>
      </c>
      <c r="P13" s="25">
        <f t="shared" si="1"/>
        <v>1769047.1970000009</v>
      </c>
    </row>
    <row r="14" spans="2:16" ht="15.75" x14ac:dyDescent="0.55000000000000004">
      <c r="B14" s="17"/>
      <c r="C14" s="22"/>
      <c r="D14" s="17"/>
      <c r="E14" s="19"/>
      <c r="F14" s="133"/>
      <c r="G14" s="17"/>
      <c r="H14" s="23"/>
      <c r="I14" s="23"/>
      <c r="J14" s="23"/>
      <c r="K14" s="23"/>
      <c r="L14" s="23"/>
      <c r="M14" s="23"/>
      <c r="N14" s="23"/>
      <c r="O14" s="23"/>
      <c r="P14" s="24"/>
    </row>
    <row r="15" spans="2:16" ht="15.75" x14ac:dyDescent="0.55000000000000004">
      <c r="B15" s="17"/>
      <c r="C15" s="18" t="s">
        <v>16</v>
      </c>
      <c r="D15" s="17"/>
      <c r="E15" s="19"/>
      <c r="F15" s="133"/>
      <c r="G15" s="17"/>
      <c r="H15" s="26">
        <f>H16/H13</f>
        <v>0.35430107526881721</v>
      </c>
      <c r="I15" s="26">
        <f t="shared" ref="I15:J15" si="2">I16/I13</f>
        <v>0.19857446163178646</v>
      </c>
      <c r="J15" s="26">
        <f t="shared" si="2"/>
        <v>0.1918109269490485</v>
      </c>
      <c r="K15" s="27">
        <v>0.2</v>
      </c>
      <c r="L15" s="27">
        <f>K15</f>
        <v>0.2</v>
      </c>
      <c r="M15" s="27">
        <f t="shared" ref="M15:P15" si="3">L15</f>
        <v>0.2</v>
      </c>
      <c r="N15" s="27">
        <f t="shared" si="3"/>
        <v>0.2</v>
      </c>
      <c r="O15" s="27">
        <f t="shared" si="3"/>
        <v>0.2</v>
      </c>
      <c r="P15" s="28">
        <f t="shared" si="3"/>
        <v>0.2</v>
      </c>
    </row>
    <row r="16" spans="2:16" ht="15.75" x14ac:dyDescent="0.55000000000000004">
      <c r="B16" s="17"/>
      <c r="C16" s="18" t="s">
        <v>17</v>
      </c>
      <c r="D16" s="29"/>
      <c r="E16" s="19"/>
      <c r="F16" s="17"/>
      <c r="G16" s="17"/>
      <c r="H16" s="20">
        <v>1977</v>
      </c>
      <c r="I16" s="20">
        <v>6547</v>
      </c>
      <c r="J16" s="20">
        <v>15623</v>
      </c>
      <c r="K16" s="21">
        <f t="shared" ref="K16:P16" si="4">K13*K15</f>
        <v>24629.200000000001</v>
      </c>
      <c r="L16" s="21">
        <f t="shared" si="4"/>
        <v>40126.720000000001</v>
      </c>
      <c r="M16" s="21">
        <f t="shared" si="4"/>
        <v>66989.088000000018</v>
      </c>
      <c r="N16" s="21">
        <f t="shared" si="4"/>
        <v>114721.44960000004</v>
      </c>
      <c r="O16" s="21">
        <f t="shared" si="4"/>
        <v>201662.53680000009</v>
      </c>
      <c r="P16" s="21">
        <f t="shared" si="4"/>
        <v>353809.43940000021</v>
      </c>
    </row>
    <row r="17" spans="2:16" ht="15.75" x14ac:dyDescent="0.55000000000000004">
      <c r="B17" s="17"/>
      <c r="C17" s="30"/>
      <c r="D17" s="29"/>
      <c r="E17" s="19"/>
      <c r="F17" s="31"/>
      <c r="G17" s="31"/>
      <c r="H17" s="31"/>
      <c r="I17" s="31"/>
      <c r="J17" s="31"/>
      <c r="K17" s="31"/>
      <c r="L17" s="31"/>
      <c r="M17" s="31"/>
      <c r="N17" s="31"/>
      <c r="O17" s="31"/>
      <c r="P17" s="32"/>
    </row>
    <row r="18" spans="2:16" ht="15.75" x14ac:dyDescent="0.55000000000000004">
      <c r="B18" s="17"/>
      <c r="C18" s="33"/>
      <c r="D18" s="34"/>
      <c r="E18" s="35"/>
      <c r="F18" s="36"/>
      <c r="G18" s="36"/>
      <c r="H18" s="36"/>
      <c r="I18" s="36"/>
      <c r="J18" s="36"/>
      <c r="K18" s="36"/>
      <c r="L18" s="36"/>
      <c r="M18" s="36"/>
      <c r="N18" s="36"/>
      <c r="O18" s="36"/>
      <c r="P18" s="36"/>
    </row>
    <row r="19" spans="2:16" ht="15.75" x14ac:dyDescent="0.55000000000000004">
      <c r="B19" s="17"/>
      <c r="C19" s="37"/>
      <c r="D19" s="38"/>
      <c r="E19" s="19"/>
      <c r="F19" s="39"/>
      <c r="G19" s="39"/>
      <c r="H19" s="39"/>
      <c r="I19" s="39"/>
      <c r="J19" s="39"/>
      <c r="K19" s="39"/>
      <c r="L19" s="39"/>
      <c r="M19" s="39"/>
      <c r="N19" s="39"/>
      <c r="O19" s="39"/>
      <c r="P19" s="39"/>
    </row>
    <row r="20" spans="2:16" ht="15.75" x14ac:dyDescent="0.55000000000000004">
      <c r="B20" s="17"/>
      <c r="C20" s="37"/>
      <c r="D20" s="38"/>
      <c r="E20" s="19"/>
      <c r="F20" s="39"/>
      <c r="G20" s="39"/>
      <c r="H20" s="39"/>
      <c r="I20" s="39"/>
      <c r="J20" s="39"/>
      <c r="K20" s="39"/>
      <c r="L20" s="39"/>
      <c r="M20" s="39"/>
      <c r="N20" s="39"/>
      <c r="O20" s="39"/>
      <c r="P20" s="39"/>
    </row>
    <row r="21" spans="2:16" ht="20.65" x14ac:dyDescent="0.55000000000000004">
      <c r="B21" s="134"/>
      <c r="C21" s="13" t="s">
        <v>18</v>
      </c>
      <c r="D21" s="14"/>
      <c r="E21" s="10"/>
      <c r="F21" s="39"/>
      <c r="G21" s="10"/>
      <c r="H21" s="39"/>
      <c r="I21" s="39"/>
      <c r="J21" s="39"/>
      <c r="K21" s="39"/>
      <c r="L21" s="39"/>
      <c r="M21" s="39"/>
      <c r="N21" s="39"/>
      <c r="O21" s="39"/>
      <c r="P21" s="39"/>
    </row>
    <row r="22" spans="2:16" ht="20.65" x14ac:dyDescent="0.55000000000000004">
      <c r="B22" s="134"/>
      <c r="C22" s="13"/>
      <c r="D22" s="14"/>
      <c r="E22" s="10"/>
      <c r="F22" s="39"/>
      <c r="G22" s="10"/>
      <c r="H22" s="10"/>
      <c r="I22" s="10"/>
      <c r="J22" s="10"/>
      <c r="K22" s="39"/>
      <c r="L22" s="39"/>
      <c r="M22" s="39"/>
      <c r="N22" s="39"/>
      <c r="O22" s="39"/>
      <c r="P22" s="39"/>
    </row>
    <row r="23" spans="2:16" ht="20.65" x14ac:dyDescent="0.55000000000000004">
      <c r="B23" s="134"/>
      <c r="C23" s="15" t="s">
        <v>13</v>
      </c>
      <c r="D23" s="40"/>
      <c r="E23" s="10"/>
      <c r="F23" s="39"/>
      <c r="G23" s="10"/>
      <c r="H23" s="10"/>
      <c r="I23" s="10"/>
      <c r="J23" s="10"/>
      <c r="K23" s="41">
        <f t="shared" ref="K23:P23" si="5">K10</f>
        <v>129146</v>
      </c>
      <c r="L23" s="41">
        <f t="shared" si="5"/>
        <v>206633.60000000001</v>
      </c>
      <c r="M23" s="41">
        <f t="shared" si="5"/>
        <v>340945.44000000006</v>
      </c>
      <c r="N23" s="41">
        <f t="shared" si="5"/>
        <v>579607.24800000014</v>
      </c>
      <c r="O23" s="41">
        <f t="shared" si="5"/>
        <v>1014312.6840000004</v>
      </c>
      <c r="P23" s="41">
        <f t="shared" si="5"/>
        <v>1775047.1970000009</v>
      </c>
    </row>
    <row r="24" spans="2:16" ht="20.65" x14ac:dyDescent="0.55000000000000004">
      <c r="B24" s="134"/>
      <c r="C24" s="15" t="s">
        <v>19</v>
      </c>
      <c r="D24" s="40"/>
      <c r="E24" s="10"/>
      <c r="F24" s="39"/>
      <c r="G24" s="10"/>
      <c r="H24" s="10"/>
      <c r="I24" s="10"/>
      <c r="J24" s="10"/>
      <c r="K24" s="41" cm="1">
        <f t="array" ref="K24:P24">-K16:P16</f>
        <v>-24629.200000000001</v>
      </c>
      <c r="L24" s="41">
        <v>-40126.720000000001</v>
      </c>
      <c r="M24" s="41">
        <v>-66989.088000000018</v>
      </c>
      <c r="N24" s="41">
        <v>-114721.44960000004</v>
      </c>
      <c r="O24" s="41">
        <v>-201662.53680000009</v>
      </c>
      <c r="P24" s="42">
        <v>-353809.43940000021</v>
      </c>
    </row>
    <row r="25" spans="2:16" ht="20.65" x14ac:dyDescent="0.55000000000000004">
      <c r="B25" s="134"/>
      <c r="C25" s="15" t="s">
        <v>20</v>
      </c>
      <c r="D25" s="40"/>
      <c r="E25" s="10"/>
      <c r="F25" s="39"/>
      <c r="G25" s="10"/>
      <c r="H25" s="10"/>
      <c r="I25" s="10"/>
      <c r="J25" s="10"/>
      <c r="K25" s="41">
        <f>-K12</f>
        <v>-6000</v>
      </c>
      <c r="L25" s="41">
        <f t="shared" ref="L25:O25" si="6">-L12</f>
        <v>-6000</v>
      </c>
      <c r="M25" s="41">
        <f t="shared" si="6"/>
        <v>-6000</v>
      </c>
      <c r="N25" s="41">
        <f t="shared" si="6"/>
        <v>-6000</v>
      </c>
      <c r="O25" s="41">
        <f t="shared" si="6"/>
        <v>-6000</v>
      </c>
      <c r="P25" s="41">
        <f>-P12</f>
        <v>-6000</v>
      </c>
    </row>
    <row r="26" spans="2:16" ht="20.65" x14ac:dyDescent="0.55000000000000004">
      <c r="B26" s="134"/>
      <c r="C26" s="15" t="s">
        <v>21</v>
      </c>
      <c r="D26" s="134"/>
      <c r="E26" s="10"/>
      <c r="F26" s="39"/>
      <c r="G26" s="10"/>
      <c r="H26" s="10"/>
      <c r="I26" s="10"/>
      <c r="J26" s="10"/>
      <c r="K26" s="243">
        <f>Inputs!H18</f>
        <v>-11160</v>
      </c>
      <c r="L26" s="243">
        <f>Inputs!I18</f>
        <v>-10713.6</v>
      </c>
      <c r="M26" s="243">
        <f>Inputs!J18</f>
        <v>-10606.464000000002</v>
      </c>
      <c r="N26" s="243">
        <f>Inputs!K18</f>
        <v>-10818.593280000003</v>
      </c>
      <c r="O26" s="243">
        <f>Inputs!L18</f>
        <v>-11359.522944000004</v>
      </c>
      <c r="P26" s="244">
        <f>Inputs!M18</f>
        <v>-11927.499091200005</v>
      </c>
    </row>
    <row r="27" spans="2:16" ht="16.149999999999999" thickBot="1" x14ac:dyDescent="0.6">
      <c r="B27" s="45"/>
      <c r="C27" s="15" t="s">
        <v>22</v>
      </c>
      <c r="D27" s="40"/>
      <c r="E27" s="10"/>
      <c r="F27" s="39"/>
      <c r="G27" s="10"/>
      <c r="H27" s="10"/>
      <c r="I27" s="10"/>
      <c r="J27" s="10"/>
      <c r="K27" s="44">
        <f t="shared" ref="K27:P27" si="7">SUM(K23:K26)</f>
        <v>87356.800000000003</v>
      </c>
      <c r="L27" s="44">
        <f t="shared" si="7"/>
        <v>149793.28</v>
      </c>
      <c r="M27" s="44">
        <f t="shared" si="7"/>
        <v>257349.88800000006</v>
      </c>
      <c r="N27" s="44">
        <f t="shared" si="7"/>
        <v>448067.20512000006</v>
      </c>
      <c r="O27" s="44">
        <f t="shared" si="7"/>
        <v>795290.62425600027</v>
      </c>
      <c r="P27" s="44">
        <f t="shared" si="7"/>
        <v>1403310.2585088005</v>
      </c>
    </row>
    <row r="28" spans="2:16" ht="15.75" x14ac:dyDescent="0.55000000000000004">
      <c r="B28" s="45"/>
      <c r="C28" s="45"/>
      <c r="D28" s="127"/>
      <c r="E28" s="45"/>
      <c r="F28" s="39"/>
      <c r="G28" s="45"/>
      <c r="H28" s="45"/>
      <c r="I28" s="45"/>
      <c r="J28" s="45"/>
      <c r="K28" s="45"/>
      <c r="L28" s="45"/>
      <c r="M28" s="45"/>
      <c r="N28" s="45"/>
      <c r="O28" s="45"/>
      <c r="P28" s="45"/>
    </row>
    <row r="29" spans="2:16" ht="15.75" x14ac:dyDescent="0.55000000000000004">
      <c r="B29" s="45"/>
      <c r="C29" s="45"/>
      <c r="D29" s="127"/>
      <c r="E29" s="45"/>
      <c r="F29" s="45"/>
      <c r="G29" s="45"/>
      <c r="H29" s="45"/>
      <c r="I29" s="45"/>
      <c r="J29" s="45"/>
      <c r="K29" s="137"/>
      <c r="L29" s="137"/>
      <c r="M29" s="137"/>
      <c r="N29" s="137"/>
      <c r="O29" s="137"/>
      <c r="P29" s="137"/>
    </row>
    <row r="30" spans="2:16" ht="15.75" x14ac:dyDescent="0.55000000000000004">
      <c r="B30" s="45"/>
      <c r="C30" s="45"/>
      <c r="D30" s="127"/>
      <c r="E30" s="45"/>
      <c r="F30" s="45"/>
      <c r="G30" s="45"/>
      <c r="H30" s="45"/>
      <c r="I30" s="45"/>
      <c r="J30" s="45"/>
      <c r="K30" s="137"/>
      <c r="L30" s="137"/>
      <c r="M30" s="137"/>
      <c r="N30" s="137"/>
      <c r="O30" s="137"/>
      <c r="P30" s="137"/>
    </row>
    <row r="31" spans="2:16" ht="20.65" x14ac:dyDescent="0.55000000000000004">
      <c r="B31" s="134"/>
      <c r="C31" s="131"/>
      <c r="D31" s="40"/>
      <c r="E31" s="10"/>
      <c r="F31" s="10"/>
      <c r="G31" s="10"/>
      <c r="H31" s="10"/>
      <c r="I31" s="10"/>
      <c r="J31" s="10"/>
      <c r="K31" s="46"/>
      <c r="L31" s="46"/>
      <c r="M31" s="46"/>
      <c r="N31" s="46"/>
      <c r="O31" s="134"/>
      <c r="P31" s="47" t="s">
        <v>23</v>
      </c>
    </row>
    <row r="32" spans="2:16" ht="15.75" x14ac:dyDescent="0.55000000000000004">
      <c r="B32" s="45"/>
      <c r="C32" s="45"/>
      <c r="D32" s="127"/>
      <c r="E32" s="45"/>
      <c r="F32" s="45"/>
      <c r="G32" s="45"/>
      <c r="H32" s="45"/>
      <c r="I32" s="45"/>
      <c r="J32" s="45"/>
      <c r="K32" s="45"/>
      <c r="L32" s="45"/>
      <c r="M32" s="45"/>
      <c r="N32" s="45"/>
      <c r="O32" s="45"/>
      <c r="P32" s="45"/>
    </row>
    <row r="33" spans="2:16" ht="15" x14ac:dyDescent="0.55000000000000004">
      <c r="B33" s="48"/>
      <c r="C33" s="33"/>
      <c r="D33" s="34"/>
      <c r="E33" s="35"/>
      <c r="F33" s="49"/>
      <c r="G33" s="49"/>
      <c r="H33" s="49"/>
      <c r="I33" s="49"/>
      <c r="J33" s="49"/>
      <c r="K33" s="49"/>
      <c r="L33" s="49"/>
      <c r="M33" s="49"/>
      <c r="N33" s="49"/>
      <c r="O33" s="49"/>
      <c r="P33" s="49"/>
    </row>
    <row r="34" spans="2:16" ht="15" x14ac:dyDescent="0.55000000000000004">
      <c r="B34" s="9"/>
      <c r="C34" s="131"/>
      <c r="D34" s="40"/>
      <c r="E34" s="10"/>
      <c r="F34" s="10"/>
      <c r="G34" s="10"/>
      <c r="H34" s="10"/>
      <c r="I34" s="10"/>
      <c r="J34" s="10"/>
      <c r="K34" s="46"/>
      <c r="L34" s="46"/>
      <c r="M34" s="46"/>
      <c r="N34" s="46"/>
      <c r="O34" s="46"/>
      <c r="P34" s="46"/>
    </row>
    <row r="35" spans="2:16" ht="20.65" x14ac:dyDescent="0.55000000000000004">
      <c r="B35" s="5" t="s">
        <v>24</v>
      </c>
      <c r="C35" s="128"/>
      <c r="D35" s="138"/>
      <c r="E35" s="139"/>
      <c r="F35" s="130"/>
      <c r="G35" s="130"/>
      <c r="H35" s="130"/>
      <c r="I35" s="130"/>
      <c r="J35" s="130"/>
      <c r="K35" s="50"/>
      <c r="L35" s="51"/>
      <c r="M35" s="51"/>
      <c r="N35" s="51"/>
      <c r="O35" s="51"/>
      <c r="P35" s="6"/>
    </row>
    <row r="36" spans="2:16" ht="20.65" x14ac:dyDescent="0.55000000000000004">
      <c r="B36" s="52"/>
      <c r="C36" s="131"/>
      <c r="D36" s="140"/>
      <c r="E36" s="132"/>
      <c r="F36" s="133"/>
      <c r="G36" s="133"/>
      <c r="H36" s="133"/>
      <c r="I36" s="133"/>
      <c r="J36" s="133"/>
      <c r="K36" s="133"/>
      <c r="L36" s="133"/>
      <c r="M36" s="133"/>
      <c r="N36" s="133"/>
      <c r="O36" s="133"/>
      <c r="P36" s="133"/>
    </row>
    <row r="37" spans="2:16" ht="20.65" x14ac:dyDescent="0.55000000000000004">
      <c r="B37" s="9" t="s">
        <v>9</v>
      </c>
      <c r="C37" s="131"/>
      <c r="D37" s="140"/>
      <c r="E37" s="132"/>
      <c r="F37" s="133"/>
      <c r="G37" s="133"/>
      <c r="H37" s="134"/>
      <c r="I37" s="53"/>
      <c r="J37" s="54" t="s">
        <v>25</v>
      </c>
      <c r="K37" s="55" t="s">
        <v>26</v>
      </c>
      <c r="L37" s="56"/>
      <c r="M37" s="56"/>
      <c r="N37" s="56"/>
      <c r="O37" s="56"/>
      <c r="P37" s="57" t="s">
        <v>10</v>
      </c>
    </row>
    <row r="38" spans="2:16" ht="20.65" x14ac:dyDescent="0.55000000000000004">
      <c r="B38" s="9"/>
      <c r="C38" s="134"/>
      <c r="D38" s="141"/>
      <c r="E38" s="10"/>
      <c r="F38" s="134"/>
      <c r="G38" s="134"/>
      <c r="H38" s="134"/>
      <c r="I38" s="58"/>
      <c r="J38" s="59" t="s">
        <v>27</v>
      </c>
      <c r="K38" s="59" t="s">
        <v>27</v>
      </c>
      <c r="L38" s="60" t="s">
        <v>27</v>
      </c>
      <c r="M38" s="60" t="s">
        <v>27</v>
      </c>
      <c r="N38" s="60" t="s">
        <v>27</v>
      </c>
      <c r="O38" s="60" t="s">
        <v>27</v>
      </c>
      <c r="P38" s="61" t="s">
        <v>27</v>
      </c>
    </row>
    <row r="39" spans="2:16" ht="21" thickBot="1" x14ac:dyDescent="0.6">
      <c r="B39" s="9"/>
      <c r="C39" s="134"/>
      <c r="D39" s="141"/>
      <c r="E39" s="10"/>
      <c r="F39" s="134"/>
      <c r="G39" s="134"/>
      <c r="H39" s="134"/>
      <c r="I39" s="62"/>
      <c r="J39" s="63">
        <f>DATE(G47,1,1)</f>
        <v>45658</v>
      </c>
      <c r="K39" s="63">
        <f>DATE(G47,12,31)</f>
        <v>46022</v>
      </c>
      <c r="L39" s="64">
        <f>EDATE(K39,12)</f>
        <v>46387</v>
      </c>
      <c r="M39" s="64">
        <f>EDATE(L39,12)</f>
        <v>46752</v>
      </c>
      <c r="N39" s="64">
        <f>EDATE(M39,12)</f>
        <v>47118</v>
      </c>
      <c r="O39" s="64">
        <f>EDATE(N39,12)</f>
        <v>47483</v>
      </c>
      <c r="P39" s="64">
        <f>EDATE(O39,12)</f>
        <v>47848</v>
      </c>
    </row>
    <row r="40" spans="2:16" ht="20.65" x14ac:dyDescent="0.55000000000000004">
      <c r="B40" s="52"/>
      <c r="C40" s="131"/>
      <c r="D40" s="140"/>
      <c r="E40" s="132"/>
      <c r="F40" s="133"/>
      <c r="G40" s="133"/>
      <c r="H40" s="133"/>
      <c r="I40" s="133"/>
      <c r="J40" s="142"/>
      <c r="K40" s="142"/>
      <c r="L40" s="142"/>
      <c r="M40" s="142"/>
      <c r="N40" s="142"/>
      <c r="O40" s="142"/>
      <c r="P40" s="142"/>
    </row>
    <row r="41" spans="2:16" ht="20.65" x14ac:dyDescent="0.55000000000000004">
      <c r="B41" s="134"/>
      <c r="C41" s="134"/>
      <c r="D41" s="134"/>
      <c r="E41" s="134"/>
      <c r="F41" s="134"/>
      <c r="G41" s="134"/>
      <c r="H41" s="10"/>
      <c r="I41" s="10"/>
      <c r="J41" s="10"/>
      <c r="K41" s="65"/>
      <c r="L41" s="65"/>
      <c r="M41" s="65"/>
      <c r="N41" s="65"/>
      <c r="O41" s="137"/>
      <c r="P41" s="137"/>
    </row>
    <row r="42" spans="2:16" ht="20.65" x14ac:dyDescent="0.55000000000000004">
      <c r="B42" s="134"/>
      <c r="C42" s="134"/>
      <c r="D42" s="134"/>
      <c r="E42" s="134"/>
      <c r="F42" s="134"/>
      <c r="G42" s="134"/>
      <c r="H42" s="10"/>
      <c r="I42" s="10"/>
      <c r="J42" s="10"/>
      <c r="K42" s="13" t="s">
        <v>18</v>
      </c>
      <c r="L42" s="65"/>
      <c r="M42" s="65"/>
      <c r="N42" s="65"/>
      <c r="O42" s="137"/>
      <c r="P42" s="137"/>
    </row>
    <row r="43" spans="2:16" ht="20.65" x14ac:dyDescent="0.55000000000000004">
      <c r="B43" s="134"/>
      <c r="C43" s="134"/>
      <c r="D43" s="134"/>
      <c r="E43" s="134"/>
      <c r="F43" s="134"/>
      <c r="G43" s="134"/>
      <c r="H43" s="10"/>
      <c r="I43" s="10"/>
      <c r="J43" s="10"/>
      <c r="K43" s="66">
        <f t="shared" ref="K43:P43" si="8">K27</f>
        <v>87356.800000000003</v>
      </c>
      <c r="L43" s="67">
        <f t="shared" si="8"/>
        <v>149793.28</v>
      </c>
      <c r="M43" s="67">
        <f t="shared" si="8"/>
        <v>257349.88800000006</v>
      </c>
      <c r="N43" s="67">
        <f t="shared" si="8"/>
        <v>448067.20512000006</v>
      </c>
      <c r="O43" s="67">
        <f t="shared" si="8"/>
        <v>795290.62425600027</v>
      </c>
      <c r="P43" s="68">
        <f t="shared" si="8"/>
        <v>1403310.2585088005</v>
      </c>
    </row>
    <row r="44" spans="2:16" ht="20.65" x14ac:dyDescent="0.55000000000000004">
      <c r="B44" s="134"/>
      <c r="C44" s="134"/>
      <c r="D44" s="10"/>
      <c r="E44" s="10"/>
      <c r="F44" s="65"/>
      <c r="G44" s="65"/>
      <c r="H44" s="10"/>
      <c r="I44" s="10"/>
      <c r="J44" s="10"/>
      <c r="K44" s="65"/>
      <c r="L44" s="65"/>
      <c r="M44" s="65"/>
      <c r="N44" s="65"/>
      <c r="O44" s="137"/>
      <c r="P44" s="137"/>
    </row>
    <row r="45" spans="2:16" ht="20.65" x14ac:dyDescent="0.55000000000000004">
      <c r="B45" s="9"/>
      <c r="C45" s="134"/>
      <c r="D45" s="137"/>
      <c r="E45" s="10"/>
      <c r="F45" s="137"/>
      <c r="G45" s="10"/>
      <c r="H45" s="10"/>
      <c r="I45" s="10"/>
      <c r="J45" s="10"/>
      <c r="K45" s="46"/>
      <c r="L45" s="46"/>
      <c r="M45" s="46"/>
      <c r="N45" s="46"/>
      <c r="O45" s="46"/>
      <c r="P45" s="134"/>
    </row>
    <row r="46" spans="2:16" ht="20.65" x14ac:dyDescent="0.55000000000000004">
      <c r="B46" s="134"/>
      <c r="C46" s="134"/>
      <c r="D46" s="13" t="s">
        <v>28</v>
      </c>
      <c r="E46" s="45"/>
      <c r="F46" s="45"/>
      <c r="G46" s="45"/>
      <c r="H46" s="10"/>
      <c r="I46" s="10"/>
      <c r="J46" s="10"/>
      <c r="K46" s="13" t="s">
        <v>29</v>
      </c>
      <c r="L46" s="46"/>
      <c r="M46" s="46"/>
      <c r="N46" s="46"/>
      <c r="O46" s="46"/>
      <c r="P46" s="134"/>
    </row>
    <row r="47" spans="2:16" ht="20.65" x14ac:dyDescent="0.55000000000000004">
      <c r="B47" s="134"/>
      <c r="C47" s="134"/>
      <c r="D47" s="69" t="s">
        <v>30</v>
      </c>
      <c r="E47" s="143"/>
      <c r="F47" s="143"/>
      <c r="G47" s="70">
        <v>2025</v>
      </c>
      <c r="H47" s="10"/>
      <c r="I47" s="15" t="s">
        <v>26</v>
      </c>
      <c r="J47" s="10"/>
      <c r="K47" s="71">
        <f>K43</f>
        <v>87356.800000000003</v>
      </c>
      <c r="L47" s="72">
        <f>L43</f>
        <v>149793.28</v>
      </c>
      <c r="M47" s="72">
        <f>M43</f>
        <v>257349.88800000006</v>
      </c>
      <c r="N47" s="72">
        <f>N43</f>
        <v>448067.20512000006</v>
      </c>
      <c r="O47" s="73">
        <f>O43</f>
        <v>795290.62425600027</v>
      </c>
      <c r="P47" s="74"/>
    </row>
    <row r="48" spans="2:16" ht="20.65" x14ac:dyDescent="0.55000000000000004">
      <c r="B48" s="134"/>
      <c r="C48" s="134"/>
      <c r="D48" s="75" t="s">
        <v>31</v>
      </c>
      <c r="E48" s="134"/>
      <c r="F48" s="134"/>
      <c r="G48" s="76">
        <v>0.02</v>
      </c>
      <c r="H48" s="10"/>
      <c r="I48" s="15" t="s">
        <v>32</v>
      </c>
      <c r="J48" s="10"/>
      <c r="K48" s="77">
        <v>0</v>
      </c>
      <c r="L48" s="20">
        <v>0</v>
      </c>
      <c r="M48" s="20">
        <v>0</v>
      </c>
      <c r="N48" s="20">
        <v>0</v>
      </c>
      <c r="O48" s="78">
        <f ca="1">P43/(G49-G48)</f>
        <v>10040719.435801907</v>
      </c>
      <c r="P48" s="74"/>
    </row>
    <row r="49" spans="2:16" ht="20.65" x14ac:dyDescent="0.55000000000000004">
      <c r="B49" s="134"/>
      <c r="C49" s="134"/>
      <c r="D49" s="79" t="s">
        <v>33</v>
      </c>
      <c r="E49" s="144"/>
      <c r="F49" s="144"/>
      <c r="G49" s="235">
        <f ca="1">Inputs!M46</f>
        <v>0.15976192318501173</v>
      </c>
      <c r="H49" s="10"/>
      <c r="I49" s="15" t="s">
        <v>34</v>
      </c>
      <c r="J49" s="10"/>
      <c r="K49" s="80">
        <f>SUM(K47:K48)</f>
        <v>87356.800000000003</v>
      </c>
      <c r="L49" s="81">
        <f>SUM(L47:L48)</f>
        <v>149793.28</v>
      </c>
      <c r="M49" s="81">
        <f>SUM(M47:M48)</f>
        <v>257349.88800000006</v>
      </c>
      <c r="N49" s="81">
        <f>SUM(N47:N48)</f>
        <v>448067.20512000006</v>
      </c>
      <c r="O49" s="81">
        <f ca="1">SUM(O47:O48)</f>
        <v>10836010.060057906</v>
      </c>
      <c r="P49" s="39"/>
    </row>
    <row r="50" spans="2:16" ht="20.65" x14ac:dyDescent="0.55000000000000004">
      <c r="B50" s="134"/>
      <c r="C50" s="134"/>
      <c r="D50" s="10"/>
      <c r="E50" s="10"/>
      <c r="F50" s="65"/>
      <c r="G50" s="65"/>
      <c r="H50" s="10"/>
      <c r="I50" s="10"/>
      <c r="J50" s="10"/>
      <c r="K50" s="65"/>
      <c r="L50" s="65"/>
      <c r="M50" s="65"/>
      <c r="N50" s="65"/>
      <c r="O50" s="65"/>
      <c r="P50" s="137"/>
    </row>
    <row r="51" spans="2:16" ht="20.65" x14ac:dyDescent="0.55000000000000004">
      <c r="B51" s="134"/>
      <c r="C51" s="134"/>
      <c r="D51" s="10"/>
      <c r="E51" s="10"/>
      <c r="F51" s="65"/>
      <c r="G51" s="65"/>
      <c r="H51" s="10"/>
      <c r="I51" s="10"/>
      <c r="J51" s="10"/>
      <c r="K51" s="65"/>
      <c r="L51" s="65"/>
      <c r="M51" s="65"/>
      <c r="N51" s="65"/>
      <c r="O51" s="65"/>
      <c r="P51" s="137"/>
    </row>
    <row r="52" spans="2:16" ht="20.65" x14ac:dyDescent="0.55000000000000004">
      <c r="B52" s="134"/>
      <c r="C52" s="134"/>
      <c r="D52" s="10"/>
      <c r="E52" s="10"/>
      <c r="F52" s="65"/>
      <c r="G52" s="65"/>
      <c r="H52" s="10"/>
      <c r="I52" s="10"/>
      <c r="J52" s="10"/>
      <c r="K52" s="65"/>
      <c r="L52" s="65"/>
      <c r="M52" s="65"/>
      <c r="N52" s="65"/>
      <c r="O52" s="137"/>
      <c r="P52" s="137"/>
    </row>
    <row r="53" spans="2:16" ht="20.65" x14ac:dyDescent="0.55000000000000004">
      <c r="B53" s="134"/>
      <c r="C53" s="134"/>
      <c r="D53" s="10"/>
      <c r="E53" s="10"/>
      <c r="F53" s="65"/>
      <c r="G53" s="65"/>
      <c r="H53" s="10"/>
      <c r="I53" s="10"/>
      <c r="J53" s="10"/>
      <c r="K53" s="65"/>
      <c r="L53" s="65"/>
      <c r="M53" s="65"/>
      <c r="N53" s="65"/>
      <c r="O53" s="65"/>
      <c r="P53" s="238"/>
    </row>
    <row r="54" spans="2:16" ht="15.75" x14ac:dyDescent="0.55000000000000004">
      <c r="B54" s="45"/>
      <c r="C54" s="45"/>
      <c r="D54" s="13" t="s">
        <v>35</v>
      </c>
      <c r="E54" s="45"/>
      <c r="F54" s="45"/>
      <c r="G54" s="45"/>
      <c r="H54" s="45"/>
      <c r="I54" s="45"/>
      <c r="J54" s="45"/>
      <c r="K54" s="13" t="s">
        <v>36</v>
      </c>
      <c r="L54" s="45"/>
      <c r="M54" s="45"/>
      <c r="N54" s="45"/>
      <c r="O54" s="45"/>
      <c r="P54" s="45"/>
    </row>
    <row r="55" spans="2:16" ht="15.75" x14ac:dyDescent="0.55000000000000004">
      <c r="B55" s="45"/>
      <c r="C55" s="45"/>
      <c r="D55" s="69" t="s">
        <v>37</v>
      </c>
      <c r="E55" s="145"/>
      <c r="F55" s="82">
        <f ca="1">NPV(G49,K47:O47)</f>
        <v>978368.1120019377</v>
      </c>
      <c r="G55" s="83">
        <f ca="1">F55/F57</f>
        <v>0.16974376585465278</v>
      </c>
      <c r="H55" s="84"/>
      <c r="I55" s="45"/>
      <c r="J55" s="45"/>
      <c r="K55" s="69" t="s">
        <v>38</v>
      </c>
      <c r="L55" s="145"/>
      <c r="M55" s="145"/>
      <c r="N55" s="85">
        <f ca="1">G64</f>
        <v>5747494.0755932629</v>
      </c>
      <c r="O55" s="84"/>
      <c r="P55" s="45"/>
    </row>
    <row r="56" spans="2:16" ht="15.75" x14ac:dyDescent="0.55000000000000004">
      <c r="B56" s="45"/>
      <c r="C56" s="45"/>
      <c r="D56" s="75" t="s">
        <v>39</v>
      </c>
      <c r="E56" s="45"/>
      <c r="F56" s="86">
        <f ca="1">NPV(G49,K48:O48)</f>
        <v>4785425.9635913251</v>
      </c>
      <c r="G56" s="87">
        <f ca="1">F56/F57</f>
        <v>0.83025623414534722</v>
      </c>
      <c r="H56" s="84"/>
      <c r="I56" s="45"/>
      <c r="J56" s="45"/>
      <c r="K56" s="75" t="s">
        <v>40</v>
      </c>
      <c r="L56" s="45"/>
      <c r="M56" s="88" t="s">
        <v>41</v>
      </c>
      <c r="N56" s="237">
        <f ca="1">Inputs!F28</f>
        <v>24300</v>
      </c>
      <c r="O56" s="265">
        <v>24300</v>
      </c>
      <c r="P56" s="45"/>
    </row>
    <row r="57" spans="2:16" ht="15.75" x14ac:dyDescent="0.55000000000000004">
      <c r="B57" s="45"/>
      <c r="C57" s="45"/>
      <c r="D57" s="79" t="s">
        <v>42</v>
      </c>
      <c r="E57" s="146"/>
      <c r="F57" s="86">
        <f ca="1">SUM(F55:F56)</f>
        <v>5763794.0755932629</v>
      </c>
      <c r="G57" s="89">
        <f ca="1">SUM(G55:G56)</f>
        <v>1</v>
      </c>
      <c r="H57" s="84"/>
      <c r="I57" s="45"/>
      <c r="J57" s="45"/>
      <c r="K57" s="79" t="s">
        <v>38</v>
      </c>
      <c r="L57" s="146"/>
      <c r="M57" s="90" t="s">
        <v>43</v>
      </c>
      <c r="N57" s="91">
        <f ca="1">N55/N56</f>
        <v>236.52238994210958</v>
      </c>
      <c r="O57" s="84"/>
      <c r="P57" s="45"/>
    </row>
    <row r="58" spans="2:16" ht="20.65" x14ac:dyDescent="0.55000000000000004">
      <c r="B58" s="134"/>
      <c r="C58" s="134"/>
      <c r="D58" s="10"/>
      <c r="E58" s="10"/>
      <c r="F58" s="65"/>
      <c r="G58" s="65"/>
      <c r="H58" s="10"/>
      <c r="I58" s="10"/>
      <c r="J58" s="10"/>
      <c r="K58" s="65"/>
      <c r="L58" s="65"/>
      <c r="M58" s="65"/>
      <c r="N58" s="65"/>
      <c r="O58" s="137"/>
      <c r="P58" s="137"/>
    </row>
    <row r="59" spans="2:16" ht="20.65" x14ac:dyDescent="0.55000000000000004">
      <c r="B59" s="134"/>
      <c r="C59" s="134"/>
      <c r="D59" s="10"/>
      <c r="E59" s="10"/>
      <c r="F59" s="65"/>
      <c r="G59" s="65"/>
      <c r="H59" s="10"/>
      <c r="I59" s="10"/>
      <c r="J59" s="10"/>
      <c r="K59" s="65"/>
      <c r="L59" s="65"/>
      <c r="M59" s="65"/>
      <c r="N59" s="65"/>
      <c r="O59" s="137"/>
      <c r="P59" s="137"/>
    </row>
    <row r="60" spans="2:16" ht="20.65" x14ac:dyDescent="0.55000000000000004">
      <c r="B60" s="134"/>
      <c r="C60" s="134"/>
      <c r="D60" s="10"/>
      <c r="E60" s="10"/>
      <c r="F60" s="65"/>
      <c r="G60" s="65"/>
      <c r="H60" s="10"/>
      <c r="I60" s="10"/>
      <c r="J60" s="10"/>
      <c r="K60" s="65"/>
      <c r="L60" s="65"/>
      <c r="M60" s="65"/>
      <c r="N60" s="65"/>
      <c r="O60" s="137"/>
      <c r="P60" s="137"/>
    </row>
    <row r="61" spans="2:16" ht="15.75" x14ac:dyDescent="0.55000000000000004">
      <c r="B61" s="45"/>
      <c r="C61" s="45"/>
      <c r="D61" s="13" t="s">
        <v>44</v>
      </c>
      <c r="E61" s="39"/>
      <c r="F61" s="45"/>
      <c r="G61" s="45"/>
      <c r="H61" s="45"/>
      <c r="I61" s="45"/>
      <c r="J61" s="45"/>
      <c r="K61" s="13" t="s">
        <v>45</v>
      </c>
      <c r="L61" s="39"/>
      <c r="M61" s="45"/>
      <c r="N61" s="45"/>
      <c r="O61" s="45"/>
      <c r="P61" s="45"/>
    </row>
    <row r="62" spans="2:16" ht="15.75" x14ac:dyDescent="0.55000000000000004">
      <c r="B62" s="45"/>
      <c r="C62" s="45"/>
      <c r="D62" s="69" t="s">
        <v>42</v>
      </c>
      <c r="E62" s="145"/>
      <c r="F62" s="145"/>
      <c r="G62" s="85">
        <f ca="1">F57</f>
        <v>5763794.0755932629</v>
      </c>
      <c r="H62" s="84"/>
      <c r="I62" s="45"/>
      <c r="J62" s="45"/>
      <c r="K62" s="69" t="s">
        <v>38</v>
      </c>
      <c r="L62" s="145"/>
      <c r="M62" s="92" t="s">
        <v>43</v>
      </c>
      <c r="N62" s="93">
        <f ca="1">N57</f>
        <v>236.52238994210958</v>
      </c>
      <c r="O62" s="84"/>
      <c r="P62" s="45"/>
    </row>
    <row r="63" spans="2:16" ht="15.75" x14ac:dyDescent="0.55000000000000004">
      <c r="B63" s="45"/>
      <c r="C63" s="45"/>
      <c r="D63" s="75" t="s">
        <v>46</v>
      </c>
      <c r="E63" s="45"/>
      <c r="F63" s="45"/>
      <c r="G63" s="237">
        <f>-Inputs!F29</f>
        <v>-16300</v>
      </c>
      <c r="H63" s="45"/>
      <c r="I63" s="45"/>
      <c r="J63" s="45"/>
      <c r="K63" s="75" t="s">
        <v>47</v>
      </c>
      <c r="L63" s="45"/>
      <c r="M63" s="88" t="s">
        <v>43</v>
      </c>
      <c r="N63" s="94">
        <f ca="1">Inputs!F27</f>
        <v>176.97</v>
      </c>
      <c r="O63" s="45"/>
      <c r="P63" s="45"/>
    </row>
    <row r="64" spans="2:16" ht="15.75" x14ac:dyDescent="0.55000000000000004">
      <c r="B64" s="45"/>
      <c r="C64" s="45"/>
      <c r="D64" s="79" t="s">
        <v>38</v>
      </c>
      <c r="E64" s="146"/>
      <c r="F64" s="146"/>
      <c r="G64" s="95">
        <f ca="1">SUM(G62:G63)</f>
        <v>5747494.0755932629</v>
      </c>
      <c r="H64" s="84"/>
      <c r="I64" s="45"/>
      <c r="J64" s="45"/>
      <c r="K64" s="79" t="s">
        <v>48</v>
      </c>
      <c r="L64" s="146"/>
      <c r="M64" s="146"/>
      <c r="N64" s="96">
        <f ca="1">N62/N63-1</f>
        <v>0.33651121626326264</v>
      </c>
      <c r="O64" s="84"/>
      <c r="P64" s="45"/>
    </row>
    <row r="65" spans="2:16" ht="15.75" x14ac:dyDescent="0.55000000000000004">
      <c r="B65" s="45"/>
      <c r="C65" s="39"/>
      <c r="D65" s="45"/>
      <c r="E65" s="45"/>
      <c r="F65" s="45"/>
      <c r="G65" s="45"/>
      <c r="H65" s="45"/>
      <c r="I65" s="45"/>
      <c r="J65" s="45"/>
      <c r="K65" s="45"/>
      <c r="L65" s="65"/>
      <c r="M65" s="65"/>
      <c r="N65" s="65"/>
      <c r="O65" s="137"/>
      <c r="P65" s="45"/>
    </row>
    <row r="66" spans="2:16" ht="15.75" x14ac:dyDescent="0.55000000000000004">
      <c r="B66" s="45"/>
      <c r="C66" s="39"/>
      <c r="D66" s="45"/>
      <c r="E66" s="45"/>
      <c r="F66" s="45"/>
      <c r="G66" s="45"/>
      <c r="H66" s="45"/>
      <c r="I66" s="45"/>
      <c r="J66" s="45"/>
      <c r="K66" s="45"/>
      <c r="L66" s="65"/>
      <c r="M66" s="65"/>
      <c r="N66" s="65"/>
      <c r="O66" s="137"/>
      <c r="P66" s="45"/>
    </row>
    <row r="67" spans="2:16" ht="15.75" x14ac:dyDescent="0.55000000000000004">
      <c r="B67" s="137"/>
      <c r="C67" s="147"/>
      <c r="D67" s="147"/>
      <c r="E67" s="147"/>
      <c r="F67" s="147"/>
      <c r="G67" s="147"/>
      <c r="H67" s="147"/>
      <c r="I67" s="147"/>
      <c r="J67" s="147"/>
      <c r="K67" s="147"/>
      <c r="L67" s="147"/>
      <c r="M67" s="147"/>
      <c r="N67" s="147"/>
      <c r="O67" s="147"/>
      <c r="P67" s="45"/>
    </row>
    <row r="68" spans="2:16" ht="15.75" x14ac:dyDescent="0.55000000000000004">
      <c r="B68" s="137"/>
      <c r="C68" s="147"/>
      <c r="D68" s="147"/>
      <c r="E68" s="147"/>
      <c r="F68" s="147"/>
      <c r="G68" s="147"/>
      <c r="H68" s="147"/>
      <c r="I68" s="147"/>
      <c r="J68" s="147"/>
      <c r="K68" s="147"/>
      <c r="L68" s="147"/>
      <c r="M68" s="147"/>
      <c r="N68" s="47" t="s">
        <v>49</v>
      </c>
      <c r="O68" s="45"/>
      <c r="P68" s="45"/>
    </row>
    <row r="69" spans="2:16" ht="15.75" x14ac:dyDescent="0.55000000000000004">
      <c r="B69" s="137"/>
      <c r="C69" s="147"/>
      <c r="D69" s="147"/>
      <c r="E69" s="147"/>
      <c r="F69" s="147"/>
      <c r="G69" s="147"/>
      <c r="H69" s="147"/>
      <c r="I69" s="147"/>
      <c r="J69" s="147"/>
      <c r="K69" s="147"/>
      <c r="L69" s="147"/>
      <c r="M69" s="147"/>
      <c r="N69" s="97" t="s">
        <v>50</v>
      </c>
      <c r="O69" s="45"/>
      <c r="P69" s="45"/>
    </row>
    <row r="70" spans="2:16" ht="15.75" x14ac:dyDescent="0.55000000000000004">
      <c r="B70" s="137"/>
      <c r="C70" s="147"/>
      <c r="D70" s="147"/>
      <c r="E70" s="147"/>
      <c r="F70" s="147"/>
      <c r="G70" s="147"/>
      <c r="H70" s="147"/>
      <c r="I70" s="147"/>
      <c r="J70" s="147"/>
      <c r="K70" s="147"/>
      <c r="L70" s="147"/>
      <c r="M70" s="147"/>
      <c r="N70" s="147"/>
      <c r="O70" s="147"/>
      <c r="P70" s="45"/>
    </row>
    <row r="71" spans="2:16" ht="15" x14ac:dyDescent="0.55000000000000004">
      <c r="B71" s="48"/>
      <c r="C71" s="33"/>
      <c r="D71" s="34"/>
      <c r="E71" s="35"/>
      <c r="F71" s="49"/>
      <c r="G71" s="49"/>
      <c r="H71" s="49"/>
      <c r="I71" s="49"/>
      <c r="J71" s="49"/>
      <c r="K71" s="49"/>
      <c r="L71" s="49"/>
      <c r="M71" s="49"/>
      <c r="N71" s="49"/>
      <c r="O71" s="49"/>
      <c r="P71" s="49"/>
    </row>
    <row r="72" spans="2:16" ht="15.75" x14ac:dyDescent="0.55000000000000004">
      <c r="B72" s="137"/>
      <c r="C72" s="147"/>
      <c r="D72" s="147"/>
      <c r="E72" s="147"/>
      <c r="F72" s="147"/>
      <c r="G72" s="147"/>
      <c r="H72" s="147"/>
      <c r="I72" s="147"/>
      <c r="J72" s="147"/>
      <c r="K72" s="147"/>
      <c r="L72" s="147"/>
      <c r="M72" s="147"/>
      <c r="N72" s="147"/>
      <c r="O72" s="147"/>
      <c r="P72" s="45"/>
    </row>
    <row r="73" spans="2:16" ht="20.65" x14ac:dyDescent="0.55000000000000004">
      <c r="B73" s="5" t="s">
        <v>51</v>
      </c>
      <c r="C73" s="128"/>
      <c r="D73" s="138"/>
      <c r="E73" s="139"/>
      <c r="F73" s="130"/>
      <c r="G73" s="130"/>
      <c r="H73" s="130"/>
      <c r="I73" s="130"/>
      <c r="J73" s="130"/>
      <c r="K73" s="50"/>
      <c r="L73" s="51"/>
      <c r="M73" s="51"/>
      <c r="N73" s="51"/>
      <c r="O73" s="51"/>
      <c r="P73" s="6"/>
    </row>
    <row r="74" spans="2:16" ht="20.65" x14ac:dyDescent="0.55000000000000004">
      <c r="B74" s="52"/>
      <c r="C74" s="131"/>
      <c r="D74" s="140"/>
      <c r="E74" s="132"/>
      <c r="F74" s="133"/>
      <c r="G74" s="133"/>
      <c r="H74" s="133"/>
      <c r="I74" s="133"/>
      <c r="J74" s="133"/>
      <c r="K74" s="133"/>
      <c r="L74" s="133"/>
      <c r="M74" s="133"/>
      <c r="N74" s="133"/>
      <c r="O74" s="133"/>
      <c r="P74" s="133"/>
    </row>
    <row r="75" spans="2:16" ht="20.65" x14ac:dyDescent="0.55000000000000004">
      <c r="B75" s="9" t="s">
        <v>9</v>
      </c>
      <c r="C75" s="131"/>
      <c r="D75" s="140"/>
      <c r="E75" s="132"/>
      <c r="F75" s="133"/>
      <c r="G75" s="133"/>
      <c r="H75" s="134"/>
      <c r="I75" s="53"/>
      <c r="J75" s="53"/>
      <c r="K75" s="53"/>
      <c r="L75" s="53"/>
      <c r="M75" s="53"/>
      <c r="N75" s="45"/>
      <c r="O75" s="53"/>
      <c r="P75" s="53"/>
    </row>
    <row r="76" spans="2:16" ht="20.65" x14ac:dyDescent="0.55000000000000004">
      <c r="B76" s="9"/>
      <c r="C76" s="134"/>
      <c r="D76" s="141"/>
      <c r="E76" s="10"/>
      <c r="F76" s="134"/>
      <c r="G76" s="134"/>
      <c r="H76" s="134"/>
      <c r="I76" s="58"/>
      <c r="J76" s="58"/>
      <c r="K76" s="134"/>
      <c r="L76" s="134"/>
      <c r="M76" s="134"/>
      <c r="N76" s="134"/>
      <c r="O76" s="58"/>
      <c r="P76" s="58"/>
    </row>
    <row r="77" spans="2:16" ht="20.65" x14ac:dyDescent="0.55000000000000004">
      <c r="B77" s="9"/>
      <c r="C77" s="134"/>
      <c r="D77" s="141"/>
      <c r="E77" s="10"/>
      <c r="F77" s="134"/>
      <c r="G77" s="134"/>
      <c r="H77" s="134"/>
      <c r="I77" s="58"/>
      <c r="J77" s="58"/>
      <c r="K77" s="134"/>
      <c r="L77" s="134"/>
      <c r="M77" s="134"/>
      <c r="N77" s="134"/>
      <c r="O77" s="58"/>
      <c r="P77" s="58"/>
    </row>
    <row r="78" spans="2:16" ht="15.85" customHeight="1" x14ac:dyDescent="0.55000000000000004">
      <c r="B78" s="9"/>
      <c r="C78" s="134"/>
      <c r="D78" s="98" t="s">
        <v>31</v>
      </c>
      <c r="E78" s="143"/>
      <c r="F78" s="143"/>
      <c r="G78" s="99">
        <f>G48</f>
        <v>0.02</v>
      </c>
      <c r="H78" s="84"/>
      <c r="I78" s="62"/>
      <c r="J78" s="62"/>
      <c r="K78" s="100" t="s">
        <v>40</v>
      </c>
      <c r="L78" s="145"/>
      <c r="M78" s="92" t="s">
        <v>41</v>
      </c>
      <c r="N78" s="85">
        <f ca="1">N56</f>
        <v>24300</v>
      </c>
      <c r="O78" s="84"/>
      <c r="P78" s="62"/>
    </row>
    <row r="79" spans="2:16" ht="15.85" customHeight="1" x14ac:dyDescent="0.55000000000000004">
      <c r="B79" s="52"/>
      <c r="C79" s="134"/>
      <c r="D79" s="101" t="s">
        <v>52</v>
      </c>
      <c r="E79" s="134"/>
      <c r="F79" s="134"/>
      <c r="G79" s="102">
        <f ca="1">G49</f>
        <v>0.15976192318501173</v>
      </c>
      <c r="H79" s="84"/>
      <c r="I79" s="133"/>
      <c r="J79" s="133"/>
      <c r="K79" s="103" t="s">
        <v>47</v>
      </c>
      <c r="L79" s="146"/>
      <c r="M79" s="90" t="s">
        <v>53</v>
      </c>
      <c r="N79" s="91">
        <f ca="1">N63</f>
        <v>176.97</v>
      </c>
      <c r="O79" s="84"/>
      <c r="P79" s="133"/>
    </row>
    <row r="80" spans="2:16" ht="15.75" x14ac:dyDescent="0.55000000000000004">
      <c r="B80" s="137"/>
      <c r="C80" s="45"/>
      <c r="D80" s="104" t="s">
        <v>42</v>
      </c>
      <c r="E80" s="45"/>
      <c r="F80" s="45"/>
      <c r="G80" s="105">
        <f ca="1">F57</f>
        <v>5763794.0755932629</v>
      </c>
      <c r="H80" s="84"/>
      <c r="I80" s="147"/>
      <c r="J80" s="147"/>
      <c r="K80" s="45"/>
      <c r="L80" s="45"/>
      <c r="M80" s="45"/>
      <c r="N80" s="45"/>
      <c r="O80" s="45"/>
      <c r="P80" s="45"/>
    </row>
    <row r="81" spans="2:16" ht="15.85" customHeight="1" x14ac:dyDescent="0.55000000000000004">
      <c r="B81" s="137"/>
      <c r="C81" s="45"/>
      <c r="D81" s="103" t="s">
        <v>54</v>
      </c>
      <c r="E81" s="146"/>
      <c r="F81" s="146"/>
      <c r="G81" s="95">
        <f>-G63</f>
        <v>16300</v>
      </c>
      <c r="H81" s="84"/>
      <c r="I81" s="147"/>
      <c r="J81" s="147"/>
      <c r="K81" s="45"/>
      <c r="L81" s="45"/>
      <c r="M81" s="45"/>
      <c r="N81" s="45"/>
      <c r="O81" s="106"/>
      <c r="P81" s="45"/>
    </row>
    <row r="82" spans="2:16" ht="15.75" x14ac:dyDescent="0.55000000000000004">
      <c r="B82" s="137"/>
      <c r="C82" s="45"/>
      <c r="D82" s="45"/>
      <c r="E82" s="45"/>
      <c r="F82" s="45"/>
      <c r="G82" s="45"/>
      <c r="H82" s="147"/>
      <c r="I82" s="147"/>
      <c r="J82" s="147"/>
      <c r="K82" s="45"/>
      <c r="L82" s="45"/>
      <c r="M82" s="45"/>
      <c r="N82" s="45"/>
      <c r="O82" s="43"/>
      <c r="P82" s="45"/>
    </row>
    <row r="83" spans="2:16" ht="15.75" x14ac:dyDescent="0.55000000000000004">
      <c r="B83" s="45"/>
      <c r="C83" s="39"/>
      <c r="D83" s="15"/>
      <c r="E83" s="45"/>
      <c r="F83" s="88"/>
      <c r="G83" s="43"/>
      <c r="H83" s="45"/>
      <c r="I83" s="45"/>
      <c r="J83" s="45"/>
      <c r="K83" s="45"/>
      <c r="L83" s="65"/>
      <c r="M83" s="65"/>
      <c r="N83" s="65"/>
      <c r="O83" s="137"/>
      <c r="P83" s="45"/>
    </row>
    <row r="84" spans="2:16" x14ac:dyDescent="0.45">
      <c r="B84" s="137"/>
      <c r="C84" s="137"/>
      <c r="D84" s="147"/>
      <c r="E84" s="147"/>
      <c r="F84" s="147"/>
      <c r="G84" s="147"/>
      <c r="H84" s="147"/>
      <c r="I84" s="147"/>
      <c r="J84" s="147"/>
      <c r="K84" s="147"/>
      <c r="L84" s="147"/>
      <c r="M84" s="147"/>
      <c r="N84" s="147"/>
      <c r="O84" s="147"/>
      <c r="P84" s="147"/>
    </row>
    <row r="85" spans="2:16" ht="15.75" x14ac:dyDescent="0.55000000000000004">
      <c r="B85" s="148"/>
      <c r="C85" s="137"/>
      <c r="D85" s="107" t="s">
        <v>58</v>
      </c>
      <c r="E85" s="149"/>
      <c r="F85" s="149"/>
      <c r="G85" s="149"/>
      <c r="H85" s="149"/>
      <c r="I85" s="148"/>
      <c r="J85" s="147"/>
      <c r="K85" s="107" t="s">
        <v>36</v>
      </c>
      <c r="L85" s="150"/>
      <c r="M85" s="150"/>
      <c r="N85" s="150"/>
      <c r="O85" s="150"/>
      <c r="P85" s="45"/>
    </row>
    <row r="86" spans="2:16" ht="15.75" x14ac:dyDescent="0.55000000000000004">
      <c r="B86" s="137"/>
      <c r="C86" s="45"/>
      <c r="D86" s="151"/>
      <c r="E86" s="151"/>
      <c r="F86" s="151"/>
      <c r="G86" s="151"/>
      <c r="H86" s="151"/>
      <c r="I86" s="137"/>
      <c r="J86" s="45"/>
      <c r="K86" s="152"/>
      <c r="L86" s="152"/>
      <c r="M86" s="152"/>
      <c r="N86" s="152"/>
      <c r="O86" s="152"/>
      <c r="P86" s="45"/>
    </row>
    <row r="87" spans="2:16" ht="15.75" x14ac:dyDescent="0.55000000000000004">
      <c r="B87" s="148"/>
      <c r="C87" s="84"/>
      <c r="D87" s="108" t="s">
        <v>31</v>
      </c>
      <c r="E87" s="109"/>
      <c r="F87" s="109"/>
      <c r="G87" s="109"/>
      <c r="H87" s="109"/>
      <c r="I87" s="148"/>
      <c r="J87" s="153"/>
      <c r="K87" s="108" t="s">
        <v>31</v>
      </c>
      <c r="L87" s="109"/>
      <c r="M87" s="109"/>
      <c r="N87" s="109"/>
      <c r="O87" s="109"/>
      <c r="P87" s="148"/>
    </row>
    <row r="88" spans="2:16" ht="15.75" x14ac:dyDescent="0.55000000000000004">
      <c r="B88" s="137"/>
      <c r="C88" s="154">
        <f ca="1">G80</f>
        <v>5763794.0755932629</v>
      </c>
      <c r="D88" s="110">
        <f>E88-0.005</f>
        <v>1.4999999999999999E-2</v>
      </c>
      <c r="E88" s="110">
        <f>F88-0.005</f>
        <v>0.02</v>
      </c>
      <c r="F88" s="111">
        <v>2.5000000000000001E-2</v>
      </c>
      <c r="G88" s="110">
        <f>F88+0.005</f>
        <v>3.0000000000000002E-2</v>
      </c>
      <c r="H88" s="110">
        <f>G88+0.005</f>
        <v>3.5000000000000003E-2</v>
      </c>
      <c r="I88" s="137"/>
      <c r="J88" s="112"/>
      <c r="K88" s="113" cm="1">
        <f t="array" ref="K88:O88">D88:H88</f>
        <v>1.4999999999999999E-2</v>
      </c>
      <c r="L88" s="113">
        <v>0.02</v>
      </c>
      <c r="M88" s="113">
        <v>2.5000000000000001E-2</v>
      </c>
      <c r="N88" s="113">
        <v>3.0000000000000002E-2</v>
      </c>
      <c r="O88" s="113">
        <v>3.5000000000000003E-2</v>
      </c>
      <c r="P88" s="45"/>
    </row>
    <row r="89" spans="2:16" ht="15.75" x14ac:dyDescent="0.55000000000000004">
      <c r="B89" s="291" t="s">
        <v>7</v>
      </c>
      <c r="C89" s="110">
        <f>C90-0.01</f>
        <v>0.12999999999999998</v>
      </c>
      <c r="D89" s="114">
        <f t="dataTable" ref="D89:H93" dt2D="1" dtr="1" r1="G48" r2="G49"/>
        <v>7702568.8224664405</v>
      </c>
      <c r="E89" s="115">
        <v>8003620.4375239927</v>
      </c>
      <c r="F89" s="115">
        <v>8333343.6349679772</v>
      </c>
      <c r="G89" s="115">
        <v>8696039.1521563604</v>
      </c>
      <c r="H89" s="116">
        <v>9096913.1448382605</v>
      </c>
      <c r="I89" s="291" t="s">
        <v>7</v>
      </c>
      <c r="J89" s="113">
        <f>C89</f>
        <v>0.12999999999999998</v>
      </c>
      <c r="K89" s="185">
        <f ca="1">D101/$N$78</f>
        <v>316.30735894923623</v>
      </c>
      <c r="L89" s="186">
        <f t="shared" ref="L89:O93" ca="1" si="9">E101/$N$78</f>
        <v>328.6963143013989</v>
      </c>
      <c r="M89" s="186">
        <f t="shared" ca="1" si="9"/>
        <v>342.26517016329126</v>
      </c>
      <c r="N89" s="186">
        <f t="shared" ca="1" si="9"/>
        <v>357.19091161137288</v>
      </c>
      <c r="O89" s="187">
        <f t="shared" ca="1" si="9"/>
        <v>373.68778373820004</v>
      </c>
      <c r="P89" s="45"/>
    </row>
    <row r="90" spans="2:16" ht="15.75" x14ac:dyDescent="0.55000000000000004">
      <c r="B90" s="291"/>
      <c r="C90" s="110">
        <f>C91-0.01</f>
        <v>0.13999999999999999</v>
      </c>
      <c r="D90" s="117">
        <v>6874617.4625094701</v>
      </c>
      <c r="E90" s="125">
        <v>7117562.5873908512</v>
      </c>
      <c r="F90" s="125">
        <v>7381633.3753053956</v>
      </c>
      <c r="G90" s="125">
        <v>7669710.5984848998</v>
      </c>
      <c r="H90" s="118">
        <v>7985223.7476814985</v>
      </c>
      <c r="I90" s="291"/>
      <c r="J90" s="113">
        <f>C90</f>
        <v>0.13999999999999999</v>
      </c>
      <c r="K90" s="188">
        <f t="shared" ref="K90:K93" ca="1" si="10">D102/$N$78</f>
        <v>282.23528652302343</v>
      </c>
      <c r="L90" s="155">
        <f t="shared" ca="1" si="9"/>
        <v>292.23302828768936</v>
      </c>
      <c r="M90" s="155">
        <f t="shared" ca="1" si="9"/>
        <v>303.1001389014566</v>
      </c>
      <c r="N90" s="155">
        <f t="shared" ca="1" si="9"/>
        <v>314.95516866193003</v>
      </c>
      <c r="O90" s="189">
        <f t="shared" ca="1" si="9"/>
        <v>327.93924887578186</v>
      </c>
      <c r="P90" s="45"/>
    </row>
    <row r="91" spans="2:16" ht="15.75" x14ac:dyDescent="0.55000000000000004">
      <c r="B91" s="291"/>
      <c r="C91" s="236">
        <v>0.15</v>
      </c>
      <c r="D91" s="117">
        <v>6178121.1521849083</v>
      </c>
      <c r="E91" s="125">
        <v>6376894.1473233718</v>
      </c>
      <c r="F91" s="119">
        <v>6591568.9820729122</v>
      </c>
      <c r="G91" s="125">
        <v>6824133.3863849137</v>
      </c>
      <c r="H91" s="118">
        <v>7076920.7823762204</v>
      </c>
      <c r="I91" s="291"/>
      <c r="J91" s="113">
        <f>C91</f>
        <v>0.15</v>
      </c>
      <c r="K91" s="188">
        <f t="shared" ca="1" si="10"/>
        <v>253.57288692118965</v>
      </c>
      <c r="L91" s="155">
        <f t="shared" ca="1" si="9"/>
        <v>261.75284556886305</v>
      </c>
      <c r="M91" s="155">
        <f t="shared" ca="1" si="9"/>
        <v>270.58720090835027</v>
      </c>
      <c r="N91" s="155">
        <f t="shared" ca="1" si="9"/>
        <v>280.15775252612815</v>
      </c>
      <c r="O91" s="189">
        <f t="shared" ca="1" si="9"/>
        <v>290.56052602371278</v>
      </c>
      <c r="P91" s="45"/>
    </row>
    <row r="92" spans="2:16" ht="15.75" x14ac:dyDescent="0.55000000000000004">
      <c r="B92" s="291"/>
      <c r="C92" s="110">
        <f>C91+0.01</f>
        <v>0.16</v>
      </c>
      <c r="D92" s="117">
        <v>5585435.9331875984</v>
      </c>
      <c r="E92" s="125">
        <v>5750001.026473389</v>
      </c>
      <c r="F92" s="125">
        <v>5926756.1266692374</v>
      </c>
      <c r="G92" s="125">
        <v>6117107.773033998</v>
      </c>
      <c r="H92" s="118">
        <v>6322687.5511079403</v>
      </c>
      <c r="I92" s="291"/>
      <c r="J92" s="113">
        <f>C92</f>
        <v>0.16</v>
      </c>
      <c r="K92" s="188">
        <f t="shared" ca="1" si="10"/>
        <v>229.18254869084768</v>
      </c>
      <c r="L92" s="155">
        <f t="shared" ca="1" si="9"/>
        <v>235.95477475199132</v>
      </c>
      <c r="M92" s="155">
        <f t="shared" ca="1" si="9"/>
        <v>243.22864718803447</v>
      </c>
      <c r="N92" s="155">
        <f t="shared" ca="1" si="9"/>
        <v>251.06204827300402</v>
      </c>
      <c r="O92" s="189">
        <f t="shared" ca="1" si="9"/>
        <v>259.52212144477119</v>
      </c>
      <c r="P92" s="45"/>
    </row>
    <row r="93" spans="2:16" ht="15.75" x14ac:dyDescent="0.55000000000000004">
      <c r="B93" s="291"/>
      <c r="C93" s="110">
        <f>C92+0.01</f>
        <v>0.17</v>
      </c>
      <c r="D93" s="120">
        <v>5076078.2287768275</v>
      </c>
      <c r="E93" s="121">
        <v>5213726.714603371</v>
      </c>
      <c r="F93" s="121">
        <v>5360868.1994524337</v>
      </c>
      <c r="G93" s="121">
        <v>5518519.7903621448</v>
      </c>
      <c r="H93" s="122">
        <v>5687849.2768947976</v>
      </c>
      <c r="I93" s="291"/>
      <c r="J93" s="113">
        <f>C93</f>
        <v>0.17</v>
      </c>
      <c r="K93" s="190">
        <f t="shared" ca="1" si="10"/>
        <v>208.22132628711225</v>
      </c>
      <c r="L93" s="191">
        <f t="shared" ca="1" si="9"/>
        <v>213.8858730289453</v>
      </c>
      <c r="M93" s="191">
        <f t="shared" ca="1" si="9"/>
        <v>219.94107816676683</v>
      </c>
      <c r="N93" s="191">
        <f t="shared" ca="1" si="9"/>
        <v>226.4287979572899</v>
      </c>
      <c r="O93" s="192">
        <f t="shared" ca="1" si="9"/>
        <v>233.39708958414803</v>
      </c>
      <c r="P93" s="45"/>
    </row>
    <row r="94" spans="2:16" ht="15.75" x14ac:dyDescent="0.55000000000000004">
      <c r="B94" s="137"/>
      <c r="C94" s="147"/>
      <c r="D94" s="147"/>
      <c r="E94" s="147"/>
      <c r="F94" s="147"/>
      <c r="G94" s="147"/>
      <c r="H94" s="84"/>
      <c r="I94" s="45"/>
      <c r="J94" s="45"/>
      <c r="K94" s="45"/>
      <c r="L94" s="45"/>
      <c r="M94" s="45"/>
      <c r="N94" s="45"/>
      <c r="O94" s="84"/>
      <c r="P94" s="45"/>
    </row>
    <row r="95" spans="2:16" ht="15.75" x14ac:dyDescent="0.55000000000000004">
      <c r="B95" s="137"/>
      <c r="C95" s="147"/>
      <c r="D95" s="147"/>
      <c r="E95" s="147"/>
      <c r="F95" s="147"/>
      <c r="G95" s="147"/>
      <c r="H95" s="147"/>
      <c r="I95" s="147"/>
      <c r="J95" s="147"/>
      <c r="K95" s="147"/>
      <c r="L95" s="147"/>
      <c r="M95" s="147"/>
      <c r="N95" s="147"/>
      <c r="O95" s="147"/>
      <c r="P95" s="45"/>
    </row>
    <row r="96" spans="2:16" ht="15.75" x14ac:dyDescent="0.55000000000000004">
      <c r="B96" s="137"/>
      <c r="C96" s="147"/>
      <c r="D96" s="147"/>
      <c r="E96" s="147"/>
      <c r="F96" s="147"/>
      <c r="G96" s="147"/>
      <c r="H96" s="147"/>
      <c r="I96" s="147"/>
      <c r="J96" s="147"/>
      <c r="K96" s="147"/>
      <c r="L96" s="147"/>
      <c r="M96" s="147"/>
      <c r="N96" s="147"/>
      <c r="O96" s="147"/>
      <c r="P96" s="45"/>
    </row>
    <row r="97" spans="2:16" ht="15.75" x14ac:dyDescent="0.55000000000000004">
      <c r="B97" s="137"/>
      <c r="C97" s="147"/>
      <c r="D97" s="107" t="s">
        <v>44</v>
      </c>
      <c r="E97" s="149"/>
      <c r="F97" s="149"/>
      <c r="G97" s="149"/>
      <c r="H97" s="149"/>
      <c r="I97" s="147"/>
      <c r="J97" s="147"/>
      <c r="K97" s="107" t="s">
        <v>55</v>
      </c>
      <c r="L97" s="150"/>
      <c r="M97" s="150"/>
      <c r="N97" s="150"/>
      <c r="O97" s="150"/>
      <c r="P97" s="45"/>
    </row>
    <row r="98" spans="2:16" ht="15.75" x14ac:dyDescent="0.55000000000000004">
      <c r="B98" s="137"/>
      <c r="C98" s="45"/>
      <c r="D98" s="151"/>
      <c r="E98" s="151"/>
      <c r="F98" s="151"/>
      <c r="G98" s="151"/>
      <c r="H98" s="151"/>
      <c r="I98" s="147"/>
      <c r="J98" s="147"/>
      <c r="K98" s="152"/>
      <c r="L98" s="152"/>
      <c r="M98" s="152"/>
      <c r="N98" s="152"/>
      <c r="O98" s="152"/>
      <c r="P98" s="45"/>
    </row>
    <row r="99" spans="2:16" ht="15.75" x14ac:dyDescent="0.55000000000000004">
      <c r="B99" s="148"/>
      <c r="C99" s="148"/>
      <c r="D99" s="108" t="s">
        <v>31</v>
      </c>
      <c r="E99" s="109"/>
      <c r="F99" s="109"/>
      <c r="G99" s="109"/>
      <c r="H99" s="109"/>
      <c r="I99" s="153"/>
      <c r="J99" s="153"/>
      <c r="K99" s="108" t="s">
        <v>31</v>
      </c>
      <c r="L99" s="109"/>
      <c r="M99" s="109"/>
      <c r="N99" s="109"/>
      <c r="O99" s="109"/>
      <c r="P99" s="148"/>
    </row>
    <row r="100" spans="2:16" ht="15.75" x14ac:dyDescent="0.55000000000000004">
      <c r="B100" s="147"/>
      <c r="C100" s="123"/>
      <c r="D100" s="113">
        <f>D88</f>
        <v>1.4999999999999999E-2</v>
      </c>
      <c r="E100" s="113">
        <f>E88</f>
        <v>0.02</v>
      </c>
      <c r="F100" s="113">
        <f>F88</f>
        <v>2.5000000000000001E-2</v>
      </c>
      <c r="G100" s="113">
        <f>G88</f>
        <v>3.0000000000000002E-2</v>
      </c>
      <c r="H100" s="113">
        <f>H88</f>
        <v>3.5000000000000003E-2</v>
      </c>
      <c r="I100" s="147"/>
      <c r="J100" s="124"/>
      <c r="K100" s="113">
        <f>K88</f>
        <v>1.4999999999999999E-2</v>
      </c>
      <c r="L100" s="113">
        <f t="shared" ref="L100:O100" si="11">L88</f>
        <v>0.02</v>
      </c>
      <c r="M100" s="113">
        <f t="shared" si="11"/>
        <v>2.5000000000000001E-2</v>
      </c>
      <c r="N100" s="113">
        <f t="shared" si="11"/>
        <v>3.0000000000000002E-2</v>
      </c>
      <c r="O100" s="113">
        <f t="shared" si="11"/>
        <v>3.5000000000000003E-2</v>
      </c>
      <c r="P100" s="45"/>
    </row>
    <row r="101" spans="2:16" ht="15.75" x14ac:dyDescent="0.55000000000000004">
      <c r="B101" s="291" t="s">
        <v>7</v>
      </c>
      <c r="C101" s="113">
        <f>C89</f>
        <v>0.12999999999999998</v>
      </c>
      <c r="D101" s="177">
        <f>D89-$G$81</f>
        <v>7686268.8224664405</v>
      </c>
      <c r="E101" s="178">
        <f t="shared" ref="E101:H101" si="12">E89-$G$81</f>
        <v>7987320.4375239927</v>
      </c>
      <c r="F101" s="178">
        <f t="shared" si="12"/>
        <v>8317043.6349679772</v>
      </c>
      <c r="G101" s="178">
        <f t="shared" si="12"/>
        <v>8679739.1521563604</v>
      </c>
      <c r="H101" s="179">
        <f t="shared" si="12"/>
        <v>9080613.1448382605</v>
      </c>
      <c r="I101" s="291" t="s">
        <v>7</v>
      </c>
      <c r="J101" s="113">
        <f>J89</f>
        <v>0.12999999999999998</v>
      </c>
      <c r="K101" s="169">
        <f ca="1">K89/$N$79-1</f>
        <v>0.78735016640807043</v>
      </c>
      <c r="L101" s="170">
        <f t="shared" ref="L101:O101" ca="1" si="13">L89/$N$79-1</f>
        <v>0.8573561298604222</v>
      </c>
      <c r="M101" s="170">
        <f t="shared" ca="1" si="13"/>
        <v>0.93402932792728288</v>
      </c>
      <c r="N101" s="170">
        <f t="shared" ca="1" si="13"/>
        <v>1.0183698458008301</v>
      </c>
      <c r="O101" s="171">
        <f t="shared" ca="1" si="13"/>
        <v>1.1115883129242246</v>
      </c>
      <c r="P101" s="45"/>
    </row>
    <row r="102" spans="2:16" ht="15.75" x14ac:dyDescent="0.55000000000000004">
      <c r="B102" s="291"/>
      <c r="C102" s="113">
        <f>C90</f>
        <v>0.13999999999999999</v>
      </c>
      <c r="D102" s="180">
        <f t="shared" ref="D102:H105" si="14">D90-$G$81</f>
        <v>6858317.4625094701</v>
      </c>
      <c r="E102" s="125">
        <f t="shared" si="14"/>
        <v>7101262.5873908512</v>
      </c>
      <c r="F102" s="125">
        <f t="shared" si="14"/>
        <v>7365333.3753053956</v>
      </c>
      <c r="G102" s="125">
        <f t="shared" si="14"/>
        <v>7653410.5984848998</v>
      </c>
      <c r="H102" s="181">
        <f t="shared" si="14"/>
        <v>7968923.7476814985</v>
      </c>
      <c r="I102" s="291"/>
      <c r="J102" s="113">
        <f t="shared" ref="J102:J105" si="15">J90</f>
        <v>0.13999999999999999</v>
      </c>
      <c r="K102" s="172">
        <f t="shared" ref="K102:O105" ca="1" si="16">K90/$N$79-1</f>
        <v>0.59481994983908826</v>
      </c>
      <c r="L102" s="156">
        <f t="shared" ca="1" si="16"/>
        <v>0.65131394184149505</v>
      </c>
      <c r="M102" s="156">
        <f t="shared" ca="1" si="16"/>
        <v>0.71272045488758895</v>
      </c>
      <c r="N102" s="156">
        <f t="shared" ca="1" si="16"/>
        <v>0.77970937821060082</v>
      </c>
      <c r="O102" s="173">
        <f t="shared" ca="1" si="16"/>
        <v>0.85307819899294723</v>
      </c>
      <c r="P102" s="45"/>
    </row>
    <row r="103" spans="2:16" ht="15.75" x14ac:dyDescent="0.55000000000000004">
      <c r="B103" s="291"/>
      <c r="C103" s="113">
        <f>C91</f>
        <v>0.15</v>
      </c>
      <c r="D103" s="180">
        <f t="shared" si="14"/>
        <v>6161821.1521849083</v>
      </c>
      <c r="E103" s="125">
        <f t="shared" si="14"/>
        <v>6360594.1473233718</v>
      </c>
      <c r="F103" s="125">
        <f t="shared" si="14"/>
        <v>6575268.9820729122</v>
      </c>
      <c r="G103" s="125">
        <f t="shared" si="14"/>
        <v>6807833.3863849137</v>
      </c>
      <c r="H103" s="181">
        <f t="shared" si="14"/>
        <v>7060620.7823762204</v>
      </c>
      <c r="I103" s="291"/>
      <c r="J103" s="113">
        <f t="shared" si="15"/>
        <v>0.15</v>
      </c>
      <c r="K103" s="172">
        <f t="shared" ca="1" si="16"/>
        <v>0.43285803764021957</v>
      </c>
      <c r="L103" s="156">
        <f t="shared" ca="1" si="16"/>
        <v>0.47908032756322005</v>
      </c>
      <c r="M103" s="156">
        <f t="shared" ca="1" si="16"/>
        <v>0.52900040068006038</v>
      </c>
      <c r="N103" s="156">
        <f t="shared" ca="1" si="16"/>
        <v>0.58308047988997092</v>
      </c>
      <c r="O103" s="173">
        <f t="shared" ca="1" si="16"/>
        <v>0.64186317468335186</v>
      </c>
      <c r="P103" s="45"/>
    </row>
    <row r="104" spans="2:16" ht="15.75" x14ac:dyDescent="0.55000000000000004">
      <c r="B104" s="291"/>
      <c r="C104" s="113">
        <f>C92</f>
        <v>0.16</v>
      </c>
      <c r="D104" s="180">
        <f t="shared" si="14"/>
        <v>5569135.9331875984</v>
      </c>
      <c r="E104" s="125">
        <f t="shared" si="14"/>
        <v>5733701.026473389</v>
      </c>
      <c r="F104" s="125">
        <f t="shared" si="14"/>
        <v>5910456.1266692374</v>
      </c>
      <c r="G104" s="125">
        <f t="shared" si="14"/>
        <v>6100807.773033998</v>
      </c>
      <c r="H104" s="181">
        <f t="shared" si="14"/>
        <v>6306387.5511079403</v>
      </c>
      <c r="I104" s="291"/>
      <c r="J104" s="113">
        <f t="shared" si="15"/>
        <v>0.16</v>
      </c>
      <c r="K104" s="172">
        <f t="shared" ca="1" si="16"/>
        <v>0.29503615692404184</v>
      </c>
      <c r="L104" s="156">
        <f t="shared" ca="1" si="16"/>
        <v>0.33330380715370578</v>
      </c>
      <c r="M104" s="156">
        <f t="shared" ca="1" si="16"/>
        <v>0.37440609814112258</v>
      </c>
      <c r="N104" s="156">
        <f t="shared" ca="1" si="16"/>
        <v>0.41867010381987924</v>
      </c>
      <c r="O104" s="173">
        <f t="shared" ca="1" si="16"/>
        <v>0.46647522995293667</v>
      </c>
      <c r="P104" s="45"/>
    </row>
    <row r="105" spans="2:16" ht="15.75" x14ac:dyDescent="0.55000000000000004">
      <c r="B105" s="291"/>
      <c r="C105" s="113">
        <f>C93</f>
        <v>0.17</v>
      </c>
      <c r="D105" s="182">
        <f t="shared" si="14"/>
        <v>5059778.2287768275</v>
      </c>
      <c r="E105" s="183">
        <f t="shared" si="14"/>
        <v>5197426.714603371</v>
      </c>
      <c r="F105" s="183">
        <f t="shared" si="14"/>
        <v>5344568.1994524337</v>
      </c>
      <c r="G105" s="183">
        <f t="shared" si="14"/>
        <v>5502219.7903621448</v>
      </c>
      <c r="H105" s="184">
        <f t="shared" si="14"/>
        <v>5671549.2768947976</v>
      </c>
      <c r="I105" s="291"/>
      <c r="J105" s="113">
        <f t="shared" si="15"/>
        <v>0.17</v>
      </c>
      <c r="K105" s="174">
        <f t="shared" ca="1" si="16"/>
        <v>0.17659109615817514</v>
      </c>
      <c r="L105" s="175">
        <f t="shared" ca="1" si="16"/>
        <v>0.20859961026696783</v>
      </c>
      <c r="M105" s="175">
        <f t="shared" ca="1" si="16"/>
        <v>0.24281560810740133</v>
      </c>
      <c r="N105" s="175">
        <f t="shared" ca="1" si="16"/>
        <v>0.27947560579358033</v>
      </c>
      <c r="O105" s="176">
        <f t="shared" ca="1" si="16"/>
        <v>0.31885115886392068</v>
      </c>
      <c r="P105" s="45"/>
    </row>
    <row r="106" spans="2:16" ht="15.75" x14ac:dyDescent="0.55000000000000004">
      <c r="B106" s="147"/>
      <c r="C106" s="147"/>
      <c r="D106" s="126"/>
      <c r="E106" s="126"/>
      <c r="F106" s="126"/>
      <c r="G106" s="126"/>
      <c r="H106" s="84"/>
      <c r="I106" s="45"/>
      <c r="J106" s="45"/>
      <c r="K106" s="45"/>
      <c r="L106" s="45"/>
      <c r="M106" s="45"/>
      <c r="N106" s="45"/>
      <c r="O106" s="84"/>
      <c r="P106" s="45"/>
    </row>
    <row r="107" spans="2:16" ht="20.65" x14ac:dyDescent="0.55000000000000004">
      <c r="B107" s="134"/>
      <c r="C107" s="131"/>
      <c r="D107" s="10"/>
      <c r="E107" s="10"/>
      <c r="F107" s="10"/>
      <c r="G107" s="45"/>
      <c r="H107" s="45"/>
      <c r="I107" s="45"/>
      <c r="J107" s="45"/>
      <c r="K107" s="45"/>
      <c r="L107" s="45"/>
      <c r="M107" s="45"/>
      <c r="N107" s="134"/>
      <c r="O107" s="134"/>
      <c r="P107" s="134"/>
    </row>
    <row r="108" spans="2:16" ht="15.75" x14ac:dyDescent="0.55000000000000004">
      <c r="B108" s="137"/>
      <c r="C108" s="147"/>
      <c r="D108" s="147"/>
      <c r="E108" s="147"/>
      <c r="F108" s="147"/>
      <c r="G108" s="147"/>
      <c r="H108" s="147"/>
      <c r="I108" s="147"/>
      <c r="J108" s="147"/>
      <c r="K108" s="147"/>
      <c r="L108" s="147"/>
      <c r="M108" s="147"/>
      <c r="N108" s="45"/>
      <c r="O108" s="47" t="s">
        <v>49</v>
      </c>
      <c r="P108" s="45"/>
    </row>
    <row r="109" spans="2:16" ht="15.75" x14ac:dyDescent="0.55000000000000004">
      <c r="B109" s="137"/>
      <c r="C109" s="147"/>
      <c r="D109" s="147"/>
      <c r="E109" s="147"/>
      <c r="F109" s="147"/>
      <c r="G109" s="147"/>
      <c r="H109" s="147"/>
      <c r="I109" s="147"/>
      <c r="J109" s="147"/>
      <c r="K109" s="147"/>
      <c r="L109" s="147"/>
      <c r="M109" s="147"/>
      <c r="N109" s="45"/>
      <c r="O109" s="97" t="s">
        <v>56</v>
      </c>
      <c r="P109" s="45"/>
    </row>
    <row r="110" spans="2:16" ht="15.75" x14ac:dyDescent="0.55000000000000004">
      <c r="B110" s="137"/>
      <c r="C110" s="147"/>
      <c r="D110" s="147"/>
      <c r="E110" s="147"/>
      <c r="F110" s="147"/>
      <c r="G110" s="147"/>
      <c r="H110" s="147"/>
      <c r="I110" s="147"/>
      <c r="J110" s="147"/>
      <c r="K110" s="147"/>
      <c r="L110" s="147"/>
      <c r="M110" s="147"/>
      <c r="N110" s="45"/>
      <c r="O110" s="97"/>
      <c r="P110" s="45"/>
    </row>
    <row r="111" spans="2:16" ht="15" x14ac:dyDescent="0.55000000000000004">
      <c r="B111" s="48"/>
      <c r="C111" s="33"/>
      <c r="D111" s="34"/>
      <c r="E111" s="35"/>
      <c r="F111" s="49"/>
      <c r="G111" s="49"/>
      <c r="H111" s="49"/>
      <c r="I111" s="49"/>
      <c r="J111" s="49"/>
      <c r="K111" s="49"/>
      <c r="L111" s="49"/>
      <c r="M111" s="49"/>
      <c r="N111" s="49"/>
      <c r="O111" s="49"/>
      <c r="P111" s="49" t="s">
        <v>57</v>
      </c>
    </row>
  </sheetData>
  <mergeCells count="4">
    <mergeCell ref="B89:B93"/>
    <mergeCell ref="I89:I93"/>
    <mergeCell ref="B101:B105"/>
    <mergeCell ref="I101:I10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C2C47-C9CC-47F9-97A7-E403455EA254}">
  <dimension ref="B1:P110"/>
  <sheetViews>
    <sheetView showGridLines="0" topLeftCell="A48" zoomScale="79" zoomScaleNormal="85" workbookViewId="0">
      <selection activeCell="F40" sqref="F40"/>
    </sheetView>
  </sheetViews>
  <sheetFormatPr defaultRowHeight="14.25" x14ac:dyDescent="0.45"/>
  <cols>
    <col min="2" max="2" width="19.796875" customWidth="1"/>
    <col min="3" max="3" width="9.265625" bestFit="1" customWidth="1"/>
    <col min="4" max="6" width="10.73046875" customWidth="1"/>
    <col min="7" max="8" width="11.53125" customWidth="1"/>
    <col min="11" max="11" width="13" customWidth="1"/>
    <col min="12" max="14" width="10.6640625" customWidth="1"/>
    <col min="15" max="15" width="12.1328125" customWidth="1"/>
    <col min="16" max="16" width="10.6640625" customWidth="1"/>
  </cols>
  <sheetData>
    <row r="1" spans="2:16" ht="46.9" customHeight="1" x14ac:dyDescent="0.45">
      <c r="B1" s="194" t="e" vm="1">
        <f>Inputs!B1</f>
        <v>#VALUE!</v>
      </c>
    </row>
    <row r="2" spans="2:16" ht="20.65" x14ac:dyDescent="0.55000000000000004">
      <c r="B2" s="5" t="s">
        <v>8</v>
      </c>
      <c r="C2" s="128"/>
      <c r="D2" s="129"/>
      <c r="E2" s="129"/>
      <c r="F2" s="130"/>
      <c r="G2" s="130"/>
      <c r="H2" s="130"/>
      <c r="I2" s="130"/>
      <c r="J2" s="130"/>
      <c r="K2" s="130"/>
      <c r="L2" s="130"/>
      <c r="M2" s="130"/>
      <c r="N2" s="130"/>
      <c r="O2" s="130"/>
      <c r="P2" s="6"/>
    </row>
    <row r="3" spans="2:16" ht="20.65" x14ac:dyDescent="0.55000000000000004">
      <c r="B3" s="7"/>
      <c r="C3" s="131"/>
      <c r="D3" s="132"/>
      <c r="E3" s="132"/>
      <c r="F3" s="133"/>
      <c r="G3" s="133"/>
      <c r="H3" s="133"/>
      <c r="I3" s="133"/>
      <c r="J3" s="133"/>
      <c r="K3" s="133"/>
      <c r="L3" s="133"/>
      <c r="M3" s="133"/>
      <c r="N3" s="133"/>
      <c r="O3" s="133"/>
      <c r="P3" s="8"/>
    </row>
    <row r="4" spans="2:16" ht="21" thickBot="1" x14ac:dyDescent="0.6">
      <c r="B4" s="9" t="s">
        <v>85</v>
      </c>
      <c r="C4" s="131"/>
      <c r="D4" s="10"/>
      <c r="E4" s="10"/>
      <c r="F4" s="133"/>
      <c r="G4" s="134"/>
      <c r="H4" s="257"/>
      <c r="I4" s="257"/>
      <c r="J4" s="257"/>
      <c r="K4" s="260">
        <v>2013</v>
      </c>
      <c r="L4" s="260">
        <f>K4+1</f>
        <v>2014</v>
      </c>
      <c r="M4" s="260">
        <f>L4+1</f>
        <v>2015</v>
      </c>
      <c r="N4" s="260">
        <f>M4+1</f>
        <v>2016</v>
      </c>
      <c r="O4" s="260">
        <f>N4+1</f>
        <v>2017</v>
      </c>
      <c r="P4" s="12" t="s">
        <v>10</v>
      </c>
    </row>
    <row r="5" spans="2:16" ht="20.65" x14ac:dyDescent="0.55000000000000004">
      <c r="B5" s="9"/>
      <c r="C5" s="131"/>
      <c r="D5" s="10"/>
      <c r="E5" s="10"/>
      <c r="F5" s="133"/>
      <c r="G5" s="134"/>
      <c r="H5" s="10"/>
      <c r="I5" s="10"/>
      <c r="J5" s="10"/>
      <c r="K5" s="134"/>
      <c r="L5" s="134"/>
      <c r="M5" s="134"/>
      <c r="N5" s="134"/>
      <c r="O5" s="134"/>
      <c r="P5" s="134"/>
    </row>
    <row r="6" spans="2:16" ht="20.65" x14ac:dyDescent="0.55000000000000004">
      <c r="B6" s="9"/>
      <c r="C6" s="131"/>
      <c r="D6" s="10"/>
      <c r="E6" s="10"/>
      <c r="F6" s="133"/>
      <c r="G6" s="134"/>
      <c r="H6" s="10"/>
      <c r="I6" s="10"/>
      <c r="J6" s="10"/>
      <c r="K6" s="134"/>
      <c r="L6" s="134"/>
      <c r="M6" s="134"/>
      <c r="N6" s="134"/>
      <c r="O6" s="134"/>
      <c r="P6" s="134"/>
    </row>
    <row r="7" spans="2:16" ht="20.65" x14ac:dyDescent="0.55000000000000004">
      <c r="B7" s="134"/>
      <c r="C7" s="13" t="s">
        <v>11</v>
      </c>
      <c r="D7" s="14"/>
      <c r="E7" s="10"/>
      <c r="F7" s="133"/>
      <c r="G7" s="134"/>
      <c r="H7" s="134"/>
      <c r="I7" s="10"/>
      <c r="J7" s="10"/>
      <c r="K7" s="134"/>
      <c r="L7" s="134"/>
      <c r="M7" s="134"/>
      <c r="N7" s="134"/>
      <c r="O7" s="134"/>
      <c r="P7" s="134"/>
    </row>
    <row r="8" spans="2:16" ht="20.65" x14ac:dyDescent="0.55000000000000004">
      <c r="B8" s="134"/>
      <c r="C8" s="13"/>
      <c r="D8" s="14"/>
      <c r="E8" s="10"/>
      <c r="F8" s="133"/>
      <c r="G8" s="134"/>
      <c r="H8" s="10"/>
      <c r="I8" s="10"/>
      <c r="J8" s="10"/>
      <c r="K8" s="134"/>
      <c r="L8" s="134"/>
      <c r="M8" s="134"/>
      <c r="N8" s="134"/>
      <c r="O8" s="134"/>
      <c r="P8" s="134"/>
    </row>
    <row r="9" spans="2:16" ht="16.899999999999999" customHeight="1" x14ac:dyDescent="0.55000000000000004">
      <c r="B9" s="17"/>
      <c r="C9" s="18" t="s">
        <v>13</v>
      </c>
      <c r="D9" s="19"/>
      <c r="E9" s="19"/>
      <c r="F9" s="133"/>
      <c r="G9" s="17"/>
      <c r="H9" s="20"/>
      <c r="I9" s="20"/>
      <c r="J9" s="20"/>
      <c r="K9" s="261">
        <v>874</v>
      </c>
      <c r="L9" s="261">
        <v>740</v>
      </c>
      <c r="M9" s="261">
        <v>1007</v>
      </c>
      <c r="N9" s="261">
        <v>973</v>
      </c>
      <c r="O9" s="261">
        <v>2121</v>
      </c>
      <c r="P9" s="261">
        <f>O9</f>
        <v>2121</v>
      </c>
    </row>
    <row r="10" spans="2:16" ht="15.75" x14ac:dyDescent="0.55000000000000004">
      <c r="B10" s="17"/>
      <c r="C10" s="22"/>
      <c r="D10" s="19"/>
      <c r="E10" s="19"/>
      <c r="F10" s="133"/>
      <c r="G10" s="17"/>
      <c r="H10" s="136"/>
      <c r="I10" s="136"/>
      <c r="J10" s="136"/>
      <c r="K10" s="23"/>
      <c r="L10" s="23"/>
      <c r="M10" s="23"/>
      <c r="N10" s="23"/>
      <c r="O10" s="23"/>
      <c r="P10" s="24"/>
    </row>
    <row r="11" spans="2:16" ht="15.75" x14ac:dyDescent="0.55000000000000004">
      <c r="B11" s="17"/>
      <c r="C11" s="18" t="s">
        <v>14</v>
      </c>
      <c r="D11" s="17"/>
      <c r="E11" s="19"/>
      <c r="F11" s="133"/>
      <c r="G11" s="17"/>
      <c r="H11" s="258"/>
      <c r="I11" s="258"/>
      <c r="J11" s="258"/>
      <c r="K11" s="232">
        <f>K9-K12</f>
        <v>226</v>
      </c>
      <c r="L11" s="232">
        <f t="shared" ref="L11:O11" si="0">L9-L12</f>
        <v>244</v>
      </c>
      <c r="M11" s="232">
        <f t="shared" si="0"/>
        <v>248</v>
      </c>
      <c r="N11" s="232">
        <f t="shared" si="0"/>
        <v>226</v>
      </c>
      <c r="O11" s="232">
        <f t="shared" si="0"/>
        <v>187</v>
      </c>
      <c r="P11" s="233">
        <f>O11</f>
        <v>187</v>
      </c>
    </row>
    <row r="12" spans="2:16" ht="15.75" x14ac:dyDescent="0.55000000000000004">
      <c r="B12" s="17"/>
      <c r="C12" s="18" t="s">
        <v>15</v>
      </c>
      <c r="D12" s="17"/>
      <c r="E12" s="19"/>
      <c r="F12" s="133"/>
      <c r="G12" s="17"/>
      <c r="H12" s="20"/>
      <c r="I12" s="20"/>
      <c r="J12" s="20"/>
      <c r="K12" s="261">
        <v>648</v>
      </c>
      <c r="L12" s="261">
        <v>496</v>
      </c>
      <c r="M12" s="261">
        <v>759</v>
      </c>
      <c r="N12" s="261">
        <v>747</v>
      </c>
      <c r="O12" s="261">
        <v>1934</v>
      </c>
      <c r="P12" s="261">
        <f>P9-P11</f>
        <v>1934</v>
      </c>
    </row>
    <row r="13" spans="2:16" ht="15.75" x14ac:dyDescent="0.55000000000000004">
      <c r="B13" s="17"/>
      <c r="C13" s="22"/>
      <c r="D13" s="17"/>
      <c r="E13" s="19"/>
      <c r="F13" s="133"/>
      <c r="G13" s="17"/>
      <c r="H13" s="23"/>
      <c r="I13" s="23"/>
      <c r="J13" s="23"/>
      <c r="K13" s="23"/>
      <c r="L13" s="23"/>
      <c r="M13" s="23"/>
      <c r="N13" s="23"/>
      <c r="O13" s="23"/>
      <c r="P13" s="24"/>
    </row>
    <row r="14" spans="2:16" ht="15.75" x14ac:dyDescent="0.55000000000000004">
      <c r="B14" s="17"/>
      <c r="C14" s="18" t="s">
        <v>16</v>
      </c>
      <c r="D14" s="17"/>
      <c r="E14" s="19"/>
      <c r="F14" s="133"/>
      <c r="G14" s="17"/>
      <c r="H14" s="259"/>
      <c r="I14" s="259"/>
      <c r="J14" s="259"/>
      <c r="K14" s="27">
        <v>0.104</v>
      </c>
      <c r="L14" s="27">
        <v>0.04</v>
      </c>
      <c r="M14" s="27">
        <v>0.14699999999999999</v>
      </c>
      <c r="N14" s="27">
        <v>0.17199999999999999</v>
      </c>
      <c r="O14" s="27">
        <v>0.23799999999999999</v>
      </c>
      <c r="P14" s="28">
        <f>O14</f>
        <v>0.23799999999999999</v>
      </c>
    </row>
    <row r="15" spans="2:16" ht="15.75" x14ac:dyDescent="0.55000000000000004">
      <c r="B15" s="17"/>
      <c r="C15" s="18" t="s">
        <v>17</v>
      </c>
      <c r="D15" s="29"/>
      <c r="E15" s="19"/>
      <c r="F15" s="17"/>
      <c r="G15" s="17"/>
      <c r="H15" s="20"/>
      <c r="I15" s="20"/>
      <c r="J15" s="20"/>
      <c r="K15" s="21">
        <f t="shared" ref="K15:P15" si="1">K12*K14</f>
        <v>67.391999999999996</v>
      </c>
      <c r="L15" s="21">
        <f t="shared" si="1"/>
        <v>19.84</v>
      </c>
      <c r="M15" s="21">
        <f t="shared" si="1"/>
        <v>111.57299999999999</v>
      </c>
      <c r="N15" s="21">
        <f t="shared" si="1"/>
        <v>128.48399999999998</v>
      </c>
      <c r="O15" s="21">
        <f t="shared" si="1"/>
        <v>460.29199999999997</v>
      </c>
      <c r="P15" s="21">
        <f t="shared" si="1"/>
        <v>460.29199999999997</v>
      </c>
    </row>
    <row r="16" spans="2:16" ht="15.75" x14ac:dyDescent="0.55000000000000004">
      <c r="B16" s="17"/>
      <c r="C16" s="30"/>
      <c r="D16" s="29"/>
      <c r="E16" s="19"/>
      <c r="F16" s="31"/>
      <c r="G16" s="31"/>
      <c r="H16" s="31"/>
      <c r="I16" s="31"/>
      <c r="J16" s="31"/>
      <c r="K16" s="31"/>
      <c r="L16" s="31"/>
      <c r="M16" s="31"/>
      <c r="N16" s="31"/>
      <c r="O16" s="31"/>
      <c r="P16" s="32"/>
    </row>
    <row r="17" spans="2:16" ht="15.75" x14ac:dyDescent="0.55000000000000004">
      <c r="B17" s="17"/>
      <c r="C17" s="33"/>
      <c r="D17" s="34"/>
      <c r="E17" s="35"/>
      <c r="F17" s="36"/>
      <c r="G17" s="36"/>
      <c r="H17" s="36"/>
      <c r="I17" s="36"/>
      <c r="J17" s="36"/>
      <c r="K17" s="36"/>
      <c r="L17" s="36"/>
      <c r="M17" s="36"/>
      <c r="N17" s="36"/>
      <c r="O17" s="36"/>
      <c r="P17" s="36"/>
    </row>
    <row r="18" spans="2:16" ht="15.75" x14ac:dyDescent="0.55000000000000004">
      <c r="B18" s="17"/>
      <c r="C18" s="37"/>
      <c r="D18" s="38"/>
      <c r="E18" s="19"/>
      <c r="F18" s="39"/>
      <c r="G18" s="39"/>
      <c r="H18" s="39"/>
      <c r="I18" s="39"/>
      <c r="J18" s="39"/>
      <c r="K18" s="39"/>
      <c r="L18" s="39"/>
      <c r="M18" s="39"/>
      <c r="N18" s="39"/>
      <c r="O18" s="39"/>
      <c r="P18" s="39"/>
    </row>
    <row r="19" spans="2:16" ht="15.75" x14ac:dyDescent="0.55000000000000004">
      <c r="B19" s="17"/>
      <c r="C19" s="37"/>
      <c r="D19" s="38"/>
      <c r="E19" s="19"/>
      <c r="F19" s="39"/>
      <c r="G19" s="39"/>
      <c r="H19" s="39"/>
      <c r="I19" s="39"/>
      <c r="J19" s="39"/>
      <c r="K19" s="39"/>
      <c r="L19" s="39"/>
      <c r="M19" s="39"/>
      <c r="N19" s="39"/>
      <c r="O19" s="39"/>
      <c r="P19" s="39"/>
    </row>
    <row r="20" spans="2:16" ht="20.65" x14ac:dyDescent="0.55000000000000004">
      <c r="B20" s="134"/>
      <c r="C20" s="13" t="s">
        <v>18</v>
      </c>
      <c r="D20" s="14"/>
      <c r="E20" s="10"/>
      <c r="F20" s="39"/>
      <c r="G20" s="10"/>
      <c r="H20" s="39"/>
      <c r="I20" s="39"/>
      <c r="J20" s="39"/>
      <c r="K20" s="39"/>
      <c r="L20" s="39"/>
      <c r="M20" s="39"/>
      <c r="N20" s="39"/>
      <c r="O20" s="39"/>
      <c r="P20" s="39"/>
    </row>
    <row r="21" spans="2:16" ht="20.65" x14ac:dyDescent="0.55000000000000004">
      <c r="B21" s="134"/>
      <c r="C21" s="13"/>
      <c r="D21" s="14"/>
      <c r="E21" s="10"/>
      <c r="F21" s="39"/>
      <c r="G21" s="10"/>
      <c r="H21" s="10"/>
      <c r="I21" s="10"/>
      <c r="J21" s="10"/>
      <c r="K21" s="39"/>
      <c r="L21" s="39"/>
      <c r="M21" s="39"/>
      <c r="N21" s="39"/>
      <c r="O21" s="39"/>
      <c r="P21" s="39"/>
    </row>
    <row r="22" spans="2:16" ht="20.65" x14ac:dyDescent="0.55000000000000004">
      <c r="B22" s="134"/>
      <c r="C22" s="15" t="s">
        <v>13</v>
      </c>
      <c r="D22" s="40"/>
      <c r="E22" s="10"/>
      <c r="F22" s="39"/>
      <c r="G22" s="10"/>
      <c r="H22" s="10"/>
      <c r="I22" s="10"/>
      <c r="J22" s="10"/>
      <c r="K22" s="41">
        <f t="shared" ref="K22:P22" si="2">K9</f>
        <v>874</v>
      </c>
      <c r="L22" s="41">
        <f t="shared" si="2"/>
        <v>740</v>
      </c>
      <c r="M22" s="41">
        <f t="shared" si="2"/>
        <v>1007</v>
      </c>
      <c r="N22" s="41">
        <f t="shared" si="2"/>
        <v>973</v>
      </c>
      <c r="O22" s="41">
        <f t="shared" si="2"/>
        <v>2121</v>
      </c>
      <c r="P22" s="41">
        <f t="shared" si="2"/>
        <v>2121</v>
      </c>
    </row>
    <row r="23" spans="2:16" ht="20.65" x14ac:dyDescent="0.55000000000000004">
      <c r="B23" s="134"/>
      <c r="C23" s="15" t="s">
        <v>19</v>
      </c>
      <c r="D23" s="40"/>
      <c r="E23" s="10"/>
      <c r="F23" s="39"/>
      <c r="G23" s="10"/>
      <c r="H23" s="10"/>
      <c r="I23" s="10"/>
      <c r="J23" s="10"/>
      <c r="K23" s="41" cm="1">
        <f t="array" ref="K23:P23">-K15:P15</f>
        <v>-67.391999999999996</v>
      </c>
      <c r="L23" s="41">
        <v>-19.84</v>
      </c>
      <c r="M23" s="41">
        <v>-111.57299999999999</v>
      </c>
      <c r="N23" s="41">
        <v>-128.48399999999998</v>
      </c>
      <c r="O23" s="41">
        <v>-460.29199999999997</v>
      </c>
      <c r="P23" s="42">
        <v>-460.29199999999997</v>
      </c>
    </row>
    <row r="24" spans="2:16" ht="20.65" x14ac:dyDescent="0.55000000000000004">
      <c r="B24" s="134"/>
      <c r="C24" s="15" t="s">
        <v>20</v>
      </c>
      <c r="D24" s="40"/>
      <c r="E24" s="10"/>
      <c r="F24" s="39"/>
      <c r="G24" s="10"/>
      <c r="H24" s="10"/>
      <c r="I24" s="10"/>
      <c r="J24" s="10"/>
      <c r="K24" s="41">
        <f t="shared" ref="K24:P24" si="3">-K11</f>
        <v>-226</v>
      </c>
      <c r="L24" s="41">
        <f t="shared" si="3"/>
        <v>-244</v>
      </c>
      <c r="M24" s="41">
        <f t="shared" si="3"/>
        <v>-248</v>
      </c>
      <c r="N24" s="41">
        <f t="shared" si="3"/>
        <v>-226</v>
      </c>
      <c r="O24" s="41">
        <f t="shared" si="3"/>
        <v>-187</v>
      </c>
      <c r="P24" s="41">
        <f t="shared" si="3"/>
        <v>-187</v>
      </c>
    </row>
    <row r="25" spans="2:16" ht="20.65" x14ac:dyDescent="0.55000000000000004">
      <c r="B25" s="134"/>
      <c r="C25" s="15" t="s">
        <v>21</v>
      </c>
      <c r="D25" s="134"/>
      <c r="E25" s="10"/>
      <c r="F25" s="39"/>
      <c r="G25" s="10"/>
      <c r="H25" s="10"/>
      <c r="I25" s="10"/>
      <c r="J25" s="10"/>
      <c r="K25" s="262">
        <v>-112</v>
      </c>
      <c r="L25" s="262">
        <v>12</v>
      </c>
      <c r="M25" s="262">
        <v>-203</v>
      </c>
      <c r="N25" s="262">
        <v>-51</v>
      </c>
      <c r="O25" s="262">
        <v>-679</v>
      </c>
      <c r="P25" s="263">
        <f>O25</f>
        <v>-679</v>
      </c>
    </row>
    <row r="26" spans="2:16" ht="16.149999999999999" thickBot="1" x14ac:dyDescent="0.6">
      <c r="B26" s="45"/>
      <c r="C26" s="15" t="s">
        <v>22</v>
      </c>
      <c r="D26" s="40"/>
      <c r="E26" s="10"/>
      <c r="F26" s="39"/>
      <c r="G26" s="10"/>
      <c r="H26" s="10"/>
      <c r="I26" s="10"/>
      <c r="J26" s="10"/>
      <c r="K26" s="44">
        <f t="shared" ref="K26:P26" si="4">SUM(K22:K25)</f>
        <v>468.60799999999995</v>
      </c>
      <c r="L26" s="44">
        <f t="shared" si="4"/>
        <v>488.15999999999997</v>
      </c>
      <c r="M26" s="44">
        <f t="shared" si="4"/>
        <v>444.42700000000002</v>
      </c>
      <c r="N26" s="44">
        <f t="shared" si="4"/>
        <v>567.51600000000008</v>
      </c>
      <c r="O26" s="44">
        <f t="shared" si="4"/>
        <v>794.70800000000008</v>
      </c>
      <c r="P26" s="44">
        <f t="shared" si="4"/>
        <v>794.70800000000008</v>
      </c>
    </row>
    <row r="27" spans="2:16" ht="15.75" x14ac:dyDescent="0.55000000000000004">
      <c r="B27" s="45"/>
      <c r="C27" s="45"/>
      <c r="D27" s="127"/>
      <c r="E27" s="45"/>
      <c r="F27" s="39"/>
      <c r="G27" s="45"/>
      <c r="H27" s="45"/>
      <c r="I27" s="45"/>
      <c r="J27" s="45"/>
      <c r="K27" s="45"/>
      <c r="L27" s="45"/>
      <c r="M27" s="45"/>
      <c r="N27" s="45"/>
      <c r="O27" s="45"/>
      <c r="P27" s="45"/>
    </row>
    <row r="28" spans="2:16" ht="15.75" x14ac:dyDescent="0.55000000000000004">
      <c r="B28" s="45"/>
      <c r="C28" s="45"/>
      <c r="D28" s="127"/>
      <c r="E28" s="45"/>
      <c r="F28" s="45"/>
      <c r="G28" s="45"/>
      <c r="H28" s="45"/>
      <c r="I28" s="45"/>
      <c r="J28" s="45"/>
      <c r="K28" s="137"/>
      <c r="L28" s="137"/>
      <c r="M28" s="137"/>
      <c r="N28" s="137"/>
      <c r="O28" s="137"/>
      <c r="P28" s="137"/>
    </row>
    <row r="29" spans="2:16" ht="15.75" x14ac:dyDescent="0.55000000000000004">
      <c r="B29" s="45"/>
      <c r="C29" s="45"/>
      <c r="D29" s="127"/>
      <c r="E29" s="45"/>
      <c r="F29" s="45"/>
      <c r="G29" s="45"/>
      <c r="H29" s="45"/>
      <c r="I29" s="45"/>
      <c r="J29" s="45"/>
      <c r="K29" s="137"/>
      <c r="L29" s="137"/>
      <c r="M29" s="137"/>
      <c r="N29" s="137"/>
      <c r="O29" s="137"/>
      <c r="P29" s="137"/>
    </row>
    <row r="30" spans="2:16" ht="20.65" x14ac:dyDescent="0.55000000000000004">
      <c r="B30" s="134"/>
      <c r="C30" s="131"/>
      <c r="D30" s="40"/>
      <c r="E30" s="10"/>
      <c r="F30" s="10"/>
      <c r="G30" s="10"/>
      <c r="H30" s="10"/>
      <c r="I30" s="10"/>
      <c r="J30" s="10"/>
      <c r="K30" s="46"/>
      <c r="L30" s="46"/>
      <c r="M30" s="46"/>
      <c r="N30" s="46"/>
      <c r="O30" s="134"/>
      <c r="P30" s="47" t="s">
        <v>23</v>
      </c>
    </row>
    <row r="31" spans="2:16" ht="15.75" x14ac:dyDescent="0.55000000000000004">
      <c r="B31" s="45"/>
      <c r="C31" s="45"/>
      <c r="D31" s="127"/>
      <c r="E31" s="45"/>
      <c r="F31" s="45"/>
      <c r="G31" s="45"/>
      <c r="H31" s="45"/>
      <c r="I31" s="45"/>
      <c r="J31" s="45"/>
      <c r="K31" s="45"/>
      <c r="L31" s="45"/>
      <c r="M31" s="45"/>
      <c r="N31" s="45"/>
      <c r="O31" s="45"/>
      <c r="P31" s="45"/>
    </row>
    <row r="32" spans="2:16" ht="15" x14ac:dyDescent="0.55000000000000004">
      <c r="B32" s="48"/>
      <c r="C32" s="33"/>
      <c r="D32" s="34"/>
      <c r="E32" s="35"/>
      <c r="F32" s="49"/>
      <c r="G32" s="49"/>
      <c r="H32" s="49"/>
      <c r="I32" s="49"/>
      <c r="J32" s="49"/>
      <c r="K32" s="49"/>
      <c r="L32" s="49"/>
      <c r="M32" s="49"/>
      <c r="N32" s="49"/>
      <c r="O32" s="49"/>
      <c r="P32" s="49"/>
    </row>
    <row r="33" spans="2:16" ht="15" x14ac:dyDescent="0.55000000000000004">
      <c r="B33" s="9"/>
      <c r="C33" s="131"/>
      <c r="D33" s="40"/>
      <c r="E33" s="10"/>
      <c r="F33" s="10"/>
      <c r="G33" s="10"/>
      <c r="H33" s="10"/>
      <c r="I33" s="10"/>
      <c r="J33" s="10"/>
      <c r="K33" s="46"/>
      <c r="L33" s="46"/>
      <c r="M33" s="46"/>
      <c r="N33" s="46"/>
      <c r="O33" s="46"/>
      <c r="P33" s="46"/>
    </row>
    <row r="34" spans="2:16" ht="20.65" x14ac:dyDescent="0.55000000000000004">
      <c r="B34" s="5" t="s">
        <v>24</v>
      </c>
      <c r="C34" s="128"/>
      <c r="D34" s="138"/>
      <c r="E34" s="139"/>
      <c r="F34" s="130"/>
      <c r="G34" s="130"/>
      <c r="H34" s="130"/>
      <c r="I34" s="130"/>
      <c r="J34" s="130"/>
      <c r="K34" s="50"/>
      <c r="L34" s="51"/>
      <c r="M34" s="51"/>
      <c r="N34" s="51"/>
      <c r="O34" s="51"/>
      <c r="P34" s="6"/>
    </row>
    <row r="35" spans="2:16" ht="20.65" x14ac:dyDescent="0.55000000000000004">
      <c r="B35" s="52"/>
      <c r="C35" s="131"/>
      <c r="D35" s="140"/>
      <c r="E35" s="132"/>
      <c r="F35" s="133"/>
      <c r="G35" s="133"/>
      <c r="H35" s="133"/>
      <c r="I35" s="133"/>
      <c r="J35" s="133"/>
      <c r="K35" s="133"/>
      <c r="L35" s="133"/>
      <c r="M35" s="133"/>
      <c r="N35" s="133"/>
      <c r="O35" s="133"/>
      <c r="P35" s="133"/>
    </row>
    <row r="36" spans="2:16" ht="20.65" x14ac:dyDescent="0.55000000000000004">
      <c r="B36" s="9" t="s">
        <v>9</v>
      </c>
      <c r="C36" s="131"/>
      <c r="D36" s="140"/>
      <c r="E36" s="132"/>
      <c r="F36" s="133"/>
      <c r="G36" s="133"/>
      <c r="H36" s="134"/>
      <c r="I36" s="53"/>
      <c r="J36" s="54" t="s">
        <v>25</v>
      </c>
      <c r="K36" s="55" t="s">
        <v>26</v>
      </c>
      <c r="L36" s="56"/>
      <c r="M36" s="56"/>
      <c r="N36" s="56"/>
      <c r="O36" s="56"/>
      <c r="P36" s="57" t="s">
        <v>10</v>
      </c>
    </row>
    <row r="37" spans="2:16" ht="20.65" x14ac:dyDescent="0.55000000000000004">
      <c r="B37" s="9"/>
      <c r="C37" s="134"/>
      <c r="D37" s="141"/>
      <c r="E37" s="10"/>
      <c r="F37" s="134"/>
      <c r="G37" s="134"/>
      <c r="H37" s="134"/>
      <c r="I37" s="58"/>
      <c r="J37" s="59" t="s">
        <v>27</v>
      </c>
      <c r="K37" s="59" t="s">
        <v>27</v>
      </c>
      <c r="L37" s="60" t="s">
        <v>27</v>
      </c>
      <c r="M37" s="60" t="s">
        <v>27</v>
      </c>
      <c r="N37" s="60" t="s">
        <v>27</v>
      </c>
      <c r="O37" s="60" t="s">
        <v>27</v>
      </c>
      <c r="P37" s="61" t="s">
        <v>27</v>
      </c>
    </row>
    <row r="38" spans="2:16" ht="21" thickBot="1" x14ac:dyDescent="0.6">
      <c r="B38" s="9"/>
      <c r="C38" s="134"/>
      <c r="D38" s="141"/>
      <c r="E38" s="10"/>
      <c r="F38" s="134"/>
      <c r="G38" s="134"/>
      <c r="H38" s="134"/>
      <c r="I38" s="62"/>
      <c r="J38" s="63">
        <f>DATE(G46,1,1)</f>
        <v>41275</v>
      </c>
      <c r="K38" s="63">
        <f>DATE(G46,12,31)</f>
        <v>41639</v>
      </c>
      <c r="L38" s="64">
        <f>EDATE(K38,12)</f>
        <v>42004</v>
      </c>
      <c r="M38" s="64">
        <f>EDATE(L38,12)</f>
        <v>42369</v>
      </c>
      <c r="N38" s="64">
        <f>EDATE(M38,12)</f>
        <v>42735</v>
      </c>
      <c r="O38" s="64">
        <f>EDATE(N38,12)</f>
        <v>43100</v>
      </c>
      <c r="P38" s="64">
        <f>EDATE(O38,12)</f>
        <v>43465</v>
      </c>
    </row>
    <row r="39" spans="2:16" ht="20.65" x14ac:dyDescent="0.55000000000000004">
      <c r="B39" s="52"/>
      <c r="C39" s="131"/>
      <c r="D39" s="140"/>
      <c r="E39" s="132"/>
      <c r="F39" s="133"/>
      <c r="G39" s="133"/>
      <c r="H39" s="133"/>
      <c r="I39" s="133"/>
      <c r="J39" s="142"/>
      <c r="K39" s="142"/>
      <c r="L39" s="142"/>
      <c r="M39" s="142"/>
      <c r="N39" s="142"/>
      <c r="O39" s="142"/>
      <c r="P39" s="142"/>
    </row>
    <row r="40" spans="2:16" ht="20.65" x14ac:dyDescent="0.55000000000000004">
      <c r="B40" s="134"/>
      <c r="C40" s="134"/>
      <c r="D40" s="134"/>
      <c r="E40" s="134"/>
      <c r="F40" s="134"/>
      <c r="G40" s="134"/>
      <c r="H40" s="10"/>
      <c r="I40" s="10"/>
      <c r="J40" s="10"/>
      <c r="K40" s="65"/>
      <c r="L40" s="65"/>
      <c r="M40" s="65"/>
      <c r="N40" s="65"/>
      <c r="O40" s="137"/>
      <c r="P40" s="137"/>
    </row>
    <row r="41" spans="2:16" ht="20.65" x14ac:dyDescent="0.55000000000000004">
      <c r="B41" s="134"/>
      <c r="C41" s="134"/>
      <c r="D41" s="134"/>
      <c r="E41" s="134"/>
      <c r="F41" s="134"/>
      <c r="G41" s="134"/>
      <c r="H41" s="10"/>
      <c r="I41" s="10"/>
      <c r="J41" s="10"/>
      <c r="K41" s="13" t="s">
        <v>18</v>
      </c>
      <c r="L41" s="65"/>
      <c r="M41" s="65"/>
      <c r="N41" s="65"/>
      <c r="O41" s="137"/>
      <c r="P41" s="137"/>
    </row>
    <row r="42" spans="2:16" ht="20.65" x14ac:dyDescent="0.55000000000000004">
      <c r="B42" s="134"/>
      <c r="C42" s="134"/>
      <c r="D42" s="134"/>
      <c r="E42" s="134"/>
      <c r="F42" s="134"/>
      <c r="G42" s="134"/>
      <c r="H42" s="10"/>
      <c r="I42" s="10"/>
      <c r="J42" s="10"/>
      <c r="K42" s="66">
        <f t="shared" ref="K42:P42" si="5">K26</f>
        <v>468.60799999999995</v>
      </c>
      <c r="L42" s="67">
        <f t="shared" si="5"/>
        <v>488.15999999999997</v>
      </c>
      <c r="M42" s="67">
        <f t="shared" si="5"/>
        <v>444.42700000000002</v>
      </c>
      <c r="N42" s="67">
        <f t="shared" si="5"/>
        <v>567.51600000000008</v>
      </c>
      <c r="O42" s="67">
        <f t="shared" si="5"/>
        <v>794.70800000000008</v>
      </c>
      <c r="P42" s="68">
        <f t="shared" si="5"/>
        <v>794.70800000000008</v>
      </c>
    </row>
    <row r="43" spans="2:16" ht="20.65" x14ac:dyDescent="0.55000000000000004">
      <c r="B43" s="134"/>
      <c r="C43" s="134"/>
      <c r="D43" s="10"/>
      <c r="E43" s="10"/>
      <c r="F43" s="65"/>
      <c r="G43" s="65"/>
      <c r="H43" s="10"/>
      <c r="I43" s="10"/>
      <c r="J43" s="10"/>
      <c r="K43" s="65"/>
      <c r="L43" s="65"/>
      <c r="M43" s="65"/>
      <c r="N43" s="65"/>
      <c r="O43" s="137"/>
      <c r="P43" s="137"/>
    </row>
    <row r="44" spans="2:16" ht="20.65" x14ac:dyDescent="0.55000000000000004">
      <c r="B44" s="9"/>
      <c r="C44" s="134"/>
      <c r="D44" s="137"/>
      <c r="E44" s="10"/>
      <c r="F44" s="137"/>
      <c r="G44" s="10"/>
      <c r="H44" s="10"/>
      <c r="I44" s="10"/>
      <c r="J44" s="10"/>
      <c r="K44" s="46"/>
      <c r="L44" s="46"/>
      <c r="M44" s="46"/>
      <c r="N44" s="46"/>
      <c r="O44" s="46"/>
      <c r="P44" s="134"/>
    </row>
    <row r="45" spans="2:16" ht="20.65" x14ac:dyDescent="0.55000000000000004">
      <c r="B45" s="134"/>
      <c r="C45" s="134"/>
      <c r="D45" s="13" t="s">
        <v>28</v>
      </c>
      <c r="E45" s="45"/>
      <c r="F45" s="45"/>
      <c r="G45" s="45"/>
      <c r="H45" s="10"/>
      <c r="I45" s="10"/>
      <c r="J45" s="10"/>
      <c r="K45" s="13" t="s">
        <v>29</v>
      </c>
      <c r="L45" s="46"/>
      <c r="M45" s="46"/>
      <c r="N45" s="46"/>
      <c r="O45" s="46"/>
      <c r="P45" s="134"/>
    </row>
    <row r="46" spans="2:16" ht="20.65" x14ac:dyDescent="0.55000000000000004">
      <c r="B46" s="134"/>
      <c r="C46" s="134"/>
      <c r="D46" s="69" t="s">
        <v>30</v>
      </c>
      <c r="E46" s="143"/>
      <c r="F46" s="143"/>
      <c r="G46" s="70">
        <v>2013</v>
      </c>
      <c r="H46" s="10"/>
      <c r="I46" s="15" t="s">
        <v>26</v>
      </c>
      <c r="J46" s="10"/>
      <c r="K46" s="71">
        <f>K42</f>
        <v>468.60799999999995</v>
      </c>
      <c r="L46" s="72">
        <f>L42</f>
        <v>488.15999999999997</v>
      </c>
      <c r="M46" s="72">
        <f>M42</f>
        <v>444.42700000000002</v>
      </c>
      <c r="N46" s="72">
        <f>N42</f>
        <v>567.51600000000008</v>
      </c>
      <c r="O46" s="73">
        <f>O42</f>
        <v>794.70800000000008</v>
      </c>
      <c r="P46" s="74"/>
    </row>
    <row r="47" spans="2:16" ht="20.65" x14ac:dyDescent="0.55000000000000004">
      <c r="B47" s="134"/>
      <c r="C47" s="134"/>
      <c r="D47" s="75" t="s">
        <v>31</v>
      </c>
      <c r="E47" s="134"/>
      <c r="F47" s="134"/>
      <c r="G47" s="76">
        <v>0.02</v>
      </c>
      <c r="H47" s="10"/>
      <c r="I47" s="15" t="s">
        <v>32</v>
      </c>
      <c r="J47" s="10"/>
      <c r="K47" s="77">
        <v>0</v>
      </c>
      <c r="L47" s="20">
        <v>0</v>
      </c>
      <c r="M47" s="20">
        <v>0</v>
      </c>
      <c r="N47" s="20">
        <v>0</v>
      </c>
      <c r="O47" s="78">
        <f>P42/(G48-G47)</f>
        <v>10320.883116883118</v>
      </c>
      <c r="P47" s="74"/>
    </row>
    <row r="48" spans="2:16" ht="20.65" x14ac:dyDescent="0.55000000000000004">
      <c r="B48" s="134"/>
      <c r="C48" s="134"/>
      <c r="D48" s="79" t="s">
        <v>33</v>
      </c>
      <c r="E48" s="144"/>
      <c r="F48" s="144"/>
      <c r="G48" s="264">
        <v>9.7000000000000003E-2</v>
      </c>
      <c r="H48" s="10"/>
      <c r="I48" s="15" t="s">
        <v>34</v>
      </c>
      <c r="J48" s="10"/>
      <c r="K48" s="80">
        <f>SUM(K46:K47)</f>
        <v>468.60799999999995</v>
      </c>
      <c r="L48" s="81">
        <f>SUM(L46:L47)</f>
        <v>488.15999999999997</v>
      </c>
      <c r="M48" s="81">
        <f>SUM(M46:M47)</f>
        <v>444.42700000000002</v>
      </c>
      <c r="N48" s="81">
        <f>SUM(N46:N47)</f>
        <v>567.51600000000008</v>
      </c>
      <c r="O48" s="81">
        <f>SUM(O46:O47)</f>
        <v>11115.591116883119</v>
      </c>
      <c r="P48" s="39"/>
    </row>
    <row r="49" spans="2:16" ht="20.65" x14ac:dyDescent="0.55000000000000004">
      <c r="B49" s="134"/>
      <c r="C49" s="134"/>
      <c r="D49" s="10"/>
      <c r="E49" s="10"/>
      <c r="F49" s="65"/>
      <c r="G49" s="65"/>
      <c r="H49" s="10"/>
      <c r="I49" s="10"/>
      <c r="J49" s="10"/>
      <c r="K49" s="65"/>
      <c r="L49" s="65"/>
      <c r="M49" s="65"/>
      <c r="N49" s="65"/>
      <c r="O49" s="65"/>
      <c r="P49" s="137"/>
    </row>
    <row r="50" spans="2:16" ht="20.65" x14ac:dyDescent="0.55000000000000004">
      <c r="B50" s="134"/>
      <c r="C50" s="134"/>
      <c r="D50" s="10"/>
      <c r="E50" s="10"/>
      <c r="F50" s="65"/>
      <c r="G50" s="65"/>
      <c r="H50" s="10"/>
      <c r="I50" s="10"/>
      <c r="J50" s="10"/>
      <c r="K50" s="65"/>
      <c r="L50" s="65"/>
      <c r="M50" s="65"/>
      <c r="N50" s="65"/>
      <c r="O50" s="65"/>
      <c r="P50" s="137"/>
    </row>
    <row r="51" spans="2:16" ht="20.65" x14ac:dyDescent="0.55000000000000004">
      <c r="B51" s="134"/>
      <c r="C51" s="134"/>
      <c r="D51" s="10"/>
      <c r="E51" s="10"/>
      <c r="F51" s="65"/>
      <c r="G51" s="65"/>
      <c r="H51" s="10"/>
      <c r="I51" s="10"/>
      <c r="J51" s="10"/>
      <c r="K51" s="65"/>
      <c r="L51" s="65"/>
      <c r="M51" s="65"/>
      <c r="N51" s="65"/>
      <c r="O51" s="137"/>
      <c r="P51" s="137"/>
    </row>
    <row r="52" spans="2:16" ht="20.65" x14ac:dyDescent="0.55000000000000004">
      <c r="B52" s="134"/>
      <c r="C52" s="134"/>
      <c r="D52" s="10"/>
      <c r="E52" s="10"/>
      <c r="F52" s="65"/>
      <c r="G52" s="65"/>
      <c r="H52" s="10"/>
      <c r="I52" s="10"/>
      <c r="J52" s="10"/>
      <c r="K52" s="65"/>
      <c r="L52" s="65"/>
      <c r="M52" s="65"/>
      <c r="N52" s="65"/>
      <c r="O52" s="65"/>
      <c r="P52" s="238"/>
    </row>
    <row r="53" spans="2:16" ht="15.75" x14ac:dyDescent="0.55000000000000004">
      <c r="B53" s="45"/>
      <c r="C53" s="45"/>
      <c r="D53" s="13" t="s">
        <v>35</v>
      </c>
      <c r="E53" s="45"/>
      <c r="F53" s="45"/>
      <c r="G53" s="45"/>
      <c r="H53" s="45"/>
      <c r="I53" s="45"/>
      <c r="J53" s="45"/>
      <c r="K53" s="13" t="s">
        <v>36</v>
      </c>
      <c r="L53" s="45"/>
      <c r="M53" s="45"/>
      <c r="N53" s="45"/>
      <c r="O53" s="45"/>
      <c r="P53" s="45"/>
    </row>
    <row r="54" spans="2:16" ht="15.75" x14ac:dyDescent="0.55000000000000004">
      <c r="B54" s="45"/>
      <c r="C54" s="45"/>
      <c r="D54" s="69" t="s">
        <v>37</v>
      </c>
      <c r="E54" s="145"/>
      <c r="F54" s="82">
        <f>NPV(G48,K46:O46)</f>
        <v>2061.5854855734356</v>
      </c>
      <c r="G54" s="83">
        <f>F54/F56</f>
        <v>0.24089150191566158</v>
      </c>
      <c r="H54" s="84"/>
      <c r="I54" s="45"/>
      <c r="J54" s="45"/>
      <c r="K54" s="69" t="s">
        <v>38</v>
      </c>
      <c r="L54" s="145"/>
      <c r="M54" s="145"/>
      <c r="N54" s="85">
        <f>G63</f>
        <v>4458.1494954322479</v>
      </c>
      <c r="O54" s="84"/>
      <c r="P54" s="45"/>
    </row>
    <row r="55" spans="2:16" ht="15.75" x14ac:dyDescent="0.55000000000000004">
      <c r="B55" s="45"/>
      <c r="C55" s="45"/>
      <c r="D55" s="75" t="s">
        <v>39</v>
      </c>
      <c r="E55" s="45"/>
      <c r="F55" s="86">
        <f>NPV(G48,K47:O47)</f>
        <v>6496.5640098588119</v>
      </c>
      <c r="G55" s="87">
        <f>F55/F56</f>
        <v>0.75910849808433833</v>
      </c>
      <c r="H55" s="84"/>
      <c r="I55" s="45"/>
      <c r="J55" s="45"/>
      <c r="K55" s="75" t="s">
        <v>40</v>
      </c>
      <c r="L55" s="45"/>
      <c r="M55" s="88" t="s">
        <v>41</v>
      </c>
      <c r="N55" s="237">
        <v>631</v>
      </c>
      <c r="O55" s="45"/>
      <c r="P55" s="45"/>
    </row>
    <row r="56" spans="2:16" ht="15.75" x14ac:dyDescent="0.55000000000000004">
      <c r="B56" s="45"/>
      <c r="C56" s="45"/>
      <c r="D56" s="79" t="s">
        <v>42</v>
      </c>
      <c r="E56" s="146"/>
      <c r="F56" s="86">
        <f>SUM(F54:F55)</f>
        <v>8558.1494954322479</v>
      </c>
      <c r="G56" s="89">
        <f>SUM(G54:G55)</f>
        <v>0.99999999999999989</v>
      </c>
      <c r="H56" s="84"/>
      <c r="I56" s="45"/>
      <c r="J56" s="45"/>
      <c r="K56" s="79" t="s">
        <v>38</v>
      </c>
      <c r="L56" s="146"/>
      <c r="M56" s="90" t="s">
        <v>43</v>
      </c>
      <c r="N56" s="91">
        <f>N54/N55</f>
        <v>7.0652131464853376</v>
      </c>
      <c r="O56" s="84"/>
      <c r="P56" s="45"/>
    </row>
    <row r="57" spans="2:16" ht="20.65" x14ac:dyDescent="0.55000000000000004">
      <c r="B57" s="134"/>
      <c r="C57" s="134"/>
      <c r="D57" s="10"/>
      <c r="E57" s="10"/>
      <c r="F57" s="65"/>
      <c r="G57" s="65"/>
      <c r="H57" s="10"/>
      <c r="I57" s="10"/>
      <c r="J57" s="10"/>
      <c r="K57" s="65"/>
      <c r="L57" s="65"/>
      <c r="M57" s="65"/>
      <c r="N57" s="65"/>
      <c r="O57" s="137"/>
      <c r="P57" s="137"/>
    </row>
    <row r="58" spans="2:16" ht="20.65" x14ac:dyDescent="0.55000000000000004">
      <c r="B58" s="134"/>
      <c r="C58" s="134"/>
      <c r="D58" s="10"/>
      <c r="E58" s="10"/>
      <c r="F58" s="65"/>
      <c r="G58" s="65"/>
      <c r="H58" s="10"/>
      <c r="I58" s="10"/>
      <c r="J58" s="10"/>
      <c r="K58" s="65"/>
      <c r="L58" s="65"/>
      <c r="M58" s="65"/>
      <c r="N58" s="65"/>
      <c r="O58" s="137"/>
      <c r="P58" s="137"/>
    </row>
    <row r="59" spans="2:16" ht="20.65" x14ac:dyDescent="0.55000000000000004">
      <c r="B59" s="134"/>
      <c r="C59" s="134"/>
      <c r="D59" s="10"/>
      <c r="E59" s="10"/>
      <c r="F59" s="65"/>
      <c r="G59" s="65"/>
      <c r="H59" s="10"/>
      <c r="I59" s="10"/>
      <c r="J59" s="10"/>
      <c r="K59" s="65"/>
      <c r="L59" s="65"/>
      <c r="M59" s="65"/>
      <c r="N59" s="65"/>
      <c r="O59" s="137"/>
      <c r="P59" s="137"/>
    </row>
    <row r="60" spans="2:16" ht="15.75" x14ac:dyDescent="0.55000000000000004">
      <c r="B60" s="45"/>
      <c r="C60" s="45"/>
      <c r="D60" s="13" t="s">
        <v>44</v>
      </c>
      <c r="E60" s="39"/>
      <c r="F60" s="45"/>
      <c r="G60" s="45"/>
      <c r="H60" s="45"/>
      <c r="I60" s="45"/>
      <c r="J60" s="45"/>
      <c r="K60" s="13" t="s">
        <v>45</v>
      </c>
      <c r="L60" s="39"/>
      <c r="M60" s="45"/>
      <c r="N60" s="45"/>
      <c r="O60" s="45"/>
      <c r="P60" s="45"/>
    </row>
    <row r="61" spans="2:16" ht="16.149999999999999" x14ac:dyDescent="0.55000000000000004">
      <c r="B61" s="45"/>
      <c r="C61" s="45"/>
      <c r="D61" s="69" t="s">
        <v>42</v>
      </c>
      <c r="E61" s="145"/>
      <c r="F61" s="145"/>
      <c r="G61" s="85">
        <f>F56</f>
        <v>8558.1494954322479</v>
      </c>
      <c r="H61" s="84"/>
      <c r="I61" s="45"/>
      <c r="J61" s="45"/>
      <c r="K61" s="69" t="s">
        <v>97</v>
      </c>
      <c r="L61" s="145"/>
      <c r="M61" s="92" t="s">
        <v>43</v>
      </c>
      <c r="N61" s="93">
        <f>N56</f>
        <v>7.0652131464853376</v>
      </c>
      <c r="O61" s="196" t="s">
        <v>98</v>
      </c>
      <c r="P61" s="45"/>
    </row>
    <row r="62" spans="2:16" ht="15.75" x14ac:dyDescent="0.55000000000000004">
      <c r="B62" s="45"/>
      <c r="C62" s="45"/>
      <c r="D62" s="75" t="s">
        <v>46</v>
      </c>
      <c r="E62" s="45"/>
      <c r="F62" s="45"/>
      <c r="G62" s="237">
        <v>-4100</v>
      </c>
      <c r="H62" s="45"/>
      <c r="I62" s="45"/>
      <c r="J62" s="45"/>
      <c r="K62" s="75" t="s">
        <v>47</v>
      </c>
      <c r="L62" s="45"/>
      <c r="M62" s="88" t="s">
        <v>43</v>
      </c>
      <c r="N62" s="94">
        <v>0.4</v>
      </c>
      <c r="O62" s="196" t="s">
        <v>99</v>
      </c>
      <c r="P62" s="45"/>
    </row>
    <row r="63" spans="2:16" ht="15.75" x14ac:dyDescent="0.55000000000000004">
      <c r="B63" s="45"/>
      <c r="C63" s="45"/>
      <c r="D63" s="79" t="s">
        <v>38</v>
      </c>
      <c r="E63" s="146"/>
      <c r="F63" s="146"/>
      <c r="G63" s="95">
        <f>SUM(G61:G62)</f>
        <v>4458.1494954322479</v>
      </c>
      <c r="H63" s="84"/>
      <c r="I63" s="45"/>
      <c r="J63" s="45"/>
      <c r="K63" s="79" t="s">
        <v>48</v>
      </c>
      <c r="L63" s="146"/>
      <c r="M63" s="146"/>
      <c r="N63" s="96">
        <f>N61/N62-1</f>
        <v>16.663032866213342</v>
      </c>
      <c r="O63" s="84"/>
      <c r="P63" s="45"/>
    </row>
    <row r="64" spans="2:16" ht="15.75" x14ac:dyDescent="0.55000000000000004">
      <c r="B64" s="45"/>
      <c r="C64" s="39"/>
      <c r="D64" s="45"/>
      <c r="E64" s="45"/>
      <c r="F64" s="45"/>
      <c r="G64" s="45"/>
      <c r="H64" s="45"/>
      <c r="I64" s="45"/>
      <c r="J64" s="45"/>
      <c r="K64" s="45"/>
      <c r="L64" s="65"/>
      <c r="M64" s="65"/>
      <c r="N64" s="65"/>
      <c r="O64" s="137"/>
      <c r="P64" s="45"/>
    </row>
    <row r="65" spans="2:16" ht="15.75" x14ac:dyDescent="0.55000000000000004">
      <c r="B65" s="45"/>
      <c r="C65" s="39"/>
      <c r="D65" s="45"/>
      <c r="E65" s="45"/>
      <c r="F65" s="45"/>
      <c r="G65" s="45"/>
      <c r="H65" s="45"/>
      <c r="I65" s="45"/>
      <c r="J65" s="45"/>
      <c r="K65" s="45"/>
      <c r="L65" s="65"/>
      <c r="M65" s="65"/>
      <c r="N65" s="65"/>
      <c r="O65" s="137"/>
      <c r="P65" s="45"/>
    </row>
    <row r="66" spans="2:16" ht="15.75" x14ac:dyDescent="0.55000000000000004">
      <c r="B66" s="137"/>
      <c r="C66" s="147"/>
      <c r="D66" s="147"/>
      <c r="E66" s="147"/>
      <c r="F66" s="147"/>
      <c r="G66" s="147"/>
      <c r="H66" s="147"/>
      <c r="I66" s="147"/>
      <c r="J66" s="147"/>
      <c r="K66" s="147"/>
      <c r="L66" s="147"/>
      <c r="M66" s="147"/>
      <c r="N66" s="147"/>
      <c r="O66" s="147"/>
      <c r="P66" s="45"/>
    </row>
    <row r="67" spans="2:16" ht="15.75" x14ac:dyDescent="0.55000000000000004">
      <c r="B67" s="137"/>
      <c r="C67" s="147"/>
      <c r="D67" s="147"/>
      <c r="E67" s="147"/>
      <c r="F67" s="147"/>
      <c r="G67" s="147"/>
      <c r="H67" s="147"/>
      <c r="I67" s="147"/>
      <c r="J67" s="147"/>
      <c r="K67" s="147"/>
      <c r="L67" s="147"/>
      <c r="M67" s="147"/>
      <c r="N67" s="47" t="s">
        <v>49</v>
      </c>
      <c r="O67" s="45"/>
      <c r="P67" s="45"/>
    </row>
    <row r="68" spans="2:16" ht="15.75" x14ac:dyDescent="0.55000000000000004">
      <c r="B68" s="137"/>
      <c r="C68" s="147"/>
      <c r="D68" s="147"/>
      <c r="E68" s="147"/>
      <c r="F68" s="147"/>
      <c r="G68" s="147"/>
      <c r="H68" s="147"/>
      <c r="I68" s="147"/>
      <c r="J68" s="147"/>
      <c r="K68" s="147"/>
      <c r="L68" s="147"/>
      <c r="M68" s="147"/>
      <c r="N68" s="97" t="s">
        <v>50</v>
      </c>
      <c r="O68" s="45"/>
      <c r="P68" s="45"/>
    </row>
    <row r="69" spans="2:16" ht="15.75" x14ac:dyDescent="0.55000000000000004">
      <c r="B69" s="137"/>
      <c r="C69" s="147"/>
      <c r="D69" s="147"/>
      <c r="E69" s="147"/>
      <c r="F69" s="147"/>
      <c r="G69" s="147"/>
      <c r="H69" s="147"/>
      <c r="I69" s="147"/>
      <c r="J69" s="147"/>
      <c r="K69" s="147"/>
      <c r="L69" s="147"/>
      <c r="M69" s="147"/>
      <c r="N69" s="97"/>
      <c r="O69" s="147"/>
      <c r="P69" s="45"/>
    </row>
    <row r="70" spans="2:16" ht="15" x14ac:dyDescent="0.55000000000000004">
      <c r="B70" s="48"/>
      <c r="C70" s="33"/>
      <c r="D70" s="34"/>
      <c r="E70" s="35"/>
      <c r="F70" s="49"/>
      <c r="G70" s="49"/>
      <c r="H70" s="49"/>
      <c r="I70" s="49"/>
      <c r="J70" s="49"/>
      <c r="K70" s="49"/>
      <c r="L70" s="49"/>
      <c r="M70" s="49"/>
      <c r="N70" s="49"/>
      <c r="O70" s="49"/>
      <c r="P70" s="49"/>
    </row>
    <row r="71" spans="2:16" ht="15.75" x14ac:dyDescent="0.55000000000000004">
      <c r="B71" s="137"/>
      <c r="C71" s="147"/>
      <c r="D71" s="147"/>
      <c r="E71" s="147"/>
      <c r="F71" s="147"/>
      <c r="G71" s="147"/>
      <c r="H71" s="147"/>
      <c r="I71" s="147"/>
      <c r="J71" s="147"/>
      <c r="K71" s="147"/>
      <c r="L71" s="147"/>
      <c r="M71" s="147"/>
      <c r="N71" s="147"/>
      <c r="O71" s="147"/>
      <c r="P71" s="45"/>
    </row>
    <row r="72" spans="2:16" ht="20.65" x14ac:dyDescent="0.55000000000000004">
      <c r="B72" s="5" t="s">
        <v>51</v>
      </c>
      <c r="C72" s="128"/>
      <c r="D72" s="138"/>
      <c r="E72" s="139"/>
      <c r="F72" s="130"/>
      <c r="G72" s="130"/>
      <c r="H72" s="130"/>
      <c r="I72" s="130"/>
      <c r="J72" s="130"/>
      <c r="K72" s="50"/>
      <c r="L72" s="51"/>
      <c r="M72" s="51"/>
      <c r="N72" s="51"/>
      <c r="O72" s="51"/>
      <c r="P72" s="6"/>
    </row>
    <row r="73" spans="2:16" ht="20.65" x14ac:dyDescent="0.55000000000000004">
      <c r="B73" s="52"/>
      <c r="C73" s="131"/>
      <c r="D73" s="140"/>
      <c r="E73" s="132"/>
      <c r="F73" s="133"/>
      <c r="G73" s="133"/>
      <c r="H73" s="133"/>
      <c r="I73" s="133"/>
      <c r="J73" s="133"/>
      <c r="K73" s="133"/>
      <c r="L73" s="133"/>
      <c r="M73" s="133"/>
      <c r="N73" s="133"/>
      <c r="O73" s="133"/>
      <c r="P73" s="133"/>
    </row>
    <row r="74" spans="2:16" ht="20.65" x14ac:dyDescent="0.55000000000000004">
      <c r="B74" s="9" t="s">
        <v>9</v>
      </c>
      <c r="C74" s="131"/>
      <c r="D74" s="140"/>
      <c r="E74" s="132"/>
      <c r="F74" s="133"/>
      <c r="G74" s="133"/>
      <c r="H74" s="134"/>
      <c r="I74" s="53"/>
      <c r="J74" s="53"/>
      <c r="K74" s="53"/>
      <c r="L74" s="53"/>
      <c r="M74" s="53"/>
      <c r="N74" s="45"/>
      <c r="O74" s="53"/>
      <c r="P74" s="53"/>
    </row>
    <row r="75" spans="2:16" ht="20.65" x14ac:dyDescent="0.55000000000000004">
      <c r="B75" s="9"/>
      <c r="C75" s="134"/>
      <c r="D75" s="141"/>
      <c r="E75" s="10"/>
      <c r="F75" s="134"/>
      <c r="G75" s="134"/>
      <c r="H75" s="134"/>
      <c r="I75" s="58"/>
      <c r="J75" s="58"/>
      <c r="K75" s="134"/>
      <c r="L75" s="134"/>
      <c r="M75" s="134"/>
      <c r="N75" s="134"/>
      <c r="O75" s="58"/>
      <c r="P75" s="58"/>
    </row>
    <row r="76" spans="2:16" ht="20.65" x14ac:dyDescent="0.55000000000000004">
      <c r="B76" s="9"/>
      <c r="C76" s="134"/>
      <c r="D76" s="141"/>
      <c r="E76" s="10"/>
      <c r="F76" s="134"/>
      <c r="G76" s="134"/>
      <c r="H76" s="134"/>
      <c r="I76" s="58"/>
      <c r="J76" s="58"/>
      <c r="K76" s="134"/>
      <c r="L76" s="134"/>
      <c r="M76" s="134"/>
      <c r="N76" s="134"/>
      <c r="O76" s="58"/>
      <c r="P76" s="58"/>
    </row>
    <row r="77" spans="2:16" ht="20.65" x14ac:dyDescent="0.55000000000000004">
      <c r="B77" s="9"/>
      <c r="C77" s="134"/>
      <c r="D77" s="98" t="s">
        <v>31</v>
      </c>
      <c r="E77" s="143"/>
      <c r="F77" s="143"/>
      <c r="G77" s="99">
        <f>G47</f>
        <v>0.02</v>
      </c>
      <c r="H77" s="84"/>
      <c r="I77" s="62"/>
      <c r="J77" s="62"/>
      <c r="K77" s="100" t="s">
        <v>40</v>
      </c>
      <c r="L77" s="145"/>
      <c r="M77" s="92" t="s">
        <v>41</v>
      </c>
      <c r="N77" s="85">
        <f>N55</f>
        <v>631</v>
      </c>
      <c r="O77" s="84"/>
      <c r="P77" s="62"/>
    </row>
    <row r="78" spans="2:16" ht="20.65" x14ac:dyDescent="0.55000000000000004">
      <c r="B78" s="52"/>
      <c r="C78" s="134"/>
      <c r="D78" s="101" t="s">
        <v>52</v>
      </c>
      <c r="E78" s="134"/>
      <c r="F78" s="134"/>
      <c r="G78" s="102">
        <f>G48</f>
        <v>9.7000000000000003E-2</v>
      </c>
      <c r="H78" s="84"/>
      <c r="I78" s="133"/>
      <c r="J78" s="133"/>
      <c r="K78" s="103" t="s">
        <v>47</v>
      </c>
      <c r="L78" s="146"/>
      <c r="M78" s="90" t="s">
        <v>53</v>
      </c>
      <c r="N78" s="91">
        <f>N62</f>
        <v>0.4</v>
      </c>
      <c r="O78" s="84"/>
      <c r="P78" s="133"/>
    </row>
    <row r="79" spans="2:16" ht="15.75" x14ac:dyDescent="0.55000000000000004">
      <c r="B79" s="137"/>
      <c r="C79" s="45"/>
      <c r="D79" s="104" t="s">
        <v>42</v>
      </c>
      <c r="E79" s="45"/>
      <c r="F79" s="45"/>
      <c r="G79" s="105">
        <f>F56</f>
        <v>8558.1494954322479</v>
      </c>
      <c r="H79" s="84"/>
      <c r="I79" s="147"/>
      <c r="J79" s="147"/>
      <c r="K79" s="45"/>
      <c r="L79" s="45"/>
      <c r="M79" s="45"/>
      <c r="N79" s="45"/>
      <c r="O79" s="45"/>
      <c r="P79" s="45"/>
    </row>
    <row r="80" spans="2:16" ht="15.75" x14ac:dyDescent="0.55000000000000004">
      <c r="B80" s="137"/>
      <c r="C80" s="45"/>
      <c r="D80" s="103" t="s">
        <v>54</v>
      </c>
      <c r="E80" s="146"/>
      <c r="F80" s="146"/>
      <c r="G80" s="95">
        <f>-G62</f>
        <v>4100</v>
      </c>
      <c r="H80" s="84"/>
      <c r="I80" s="147"/>
      <c r="J80" s="147"/>
      <c r="K80" s="45"/>
      <c r="L80" s="45"/>
      <c r="M80" s="45"/>
      <c r="N80" s="45"/>
      <c r="O80" s="106"/>
      <c r="P80" s="45"/>
    </row>
    <row r="81" spans="2:16" ht="15.75" x14ac:dyDescent="0.55000000000000004">
      <c r="B81" s="137"/>
      <c r="C81" s="45"/>
      <c r="D81" s="45"/>
      <c r="E81" s="45"/>
      <c r="F81" s="45"/>
      <c r="G81" s="45"/>
      <c r="H81" s="147"/>
      <c r="I81" s="147"/>
      <c r="J81" s="147"/>
      <c r="K81" s="45"/>
      <c r="L81" s="45"/>
      <c r="M81" s="45"/>
      <c r="N81" s="45"/>
      <c r="O81" s="43"/>
      <c r="P81" s="45"/>
    </row>
    <row r="82" spans="2:16" ht="15.75" x14ac:dyDescent="0.55000000000000004">
      <c r="B82" s="45"/>
      <c r="C82" s="39"/>
      <c r="D82" s="15"/>
      <c r="E82" s="45"/>
      <c r="F82" s="88"/>
      <c r="G82" s="43"/>
      <c r="H82" s="45"/>
      <c r="I82" s="45"/>
      <c r="J82" s="45"/>
      <c r="K82" s="45"/>
      <c r="L82" s="65"/>
      <c r="M82" s="65"/>
      <c r="N82" s="65"/>
      <c r="O82" s="137"/>
      <c r="P82" s="45"/>
    </row>
    <row r="83" spans="2:16" x14ac:dyDescent="0.45">
      <c r="B83" s="137"/>
      <c r="C83" s="137"/>
      <c r="D83" s="147"/>
      <c r="E83" s="147"/>
      <c r="F83" s="147"/>
      <c r="G83" s="147"/>
      <c r="H83" s="147"/>
      <c r="I83" s="147"/>
      <c r="J83" s="147"/>
      <c r="K83" s="147"/>
      <c r="L83" s="147"/>
      <c r="M83" s="147"/>
      <c r="N83" s="147"/>
      <c r="O83" s="147"/>
      <c r="P83" s="147"/>
    </row>
    <row r="84" spans="2:16" ht="15.75" x14ac:dyDescent="0.55000000000000004">
      <c r="B84" s="148"/>
      <c r="C84" s="137"/>
      <c r="D84" s="107" t="s">
        <v>58</v>
      </c>
      <c r="E84" s="149"/>
      <c r="F84" s="149"/>
      <c r="G84" s="149"/>
      <c r="H84" s="149"/>
      <c r="I84" s="148"/>
      <c r="J84" s="147"/>
      <c r="K84" s="107" t="s">
        <v>36</v>
      </c>
      <c r="L84" s="150"/>
      <c r="M84" s="150"/>
      <c r="N84" s="150"/>
      <c r="O84" s="150"/>
      <c r="P84" s="45"/>
    </row>
    <row r="85" spans="2:16" ht="15.75" x14ac:dyDescent="0.55000000000000004">
      <c r="B85" s="137"/>
      <c r="C85" s="45"/>
      <c r="D85" s="151"/>
      <c r="E85" s="151"/>
      <c r="F85" s="151"/>
      <c r="G85" s="151"/>
      <c r="H85" s="151"/>
      <c r="I85" s="137"/>
      <c r="J85" s="45"/>
      <c r="K85" s="152"/>
      <c r="L85" s="152"/>
      <c r="M85" s="152"/>
      <c r="N85" s="152"/>
      <c r="O85" s="152"/>
      <c r="P85" s="45"/>
    </row>
    <row r="86" spans="2:16" ht="15.75" x14ac:dyDescent="0.55000000000000004">
      <c r="B86" s="148"/>
      <c r="C86" s="84"/>
      <c r="D86" s="108" t="s">
        <v>31</v>
      </c>
      <c r="E86" s="109"/>
      <c r="F86" s="109"/>
      <c r="G86" s="109"/>
      <c r="H86" s="109"/>
      <c r="I86" s="148"/>
      <c r="J86" s="153"/>
      <c r="K86" s="108" t="s">
        <v>31</v>
      </c>
      <c r="L86" s="109"/>
      <c r="M86" s="109"/>
      <c r="N86" s="109"/>
      <c r="O86" s="109"/>
      <c r="P86" s="148"/>
    </row>
    <row r="87" spans="2:16" ht="15.75" x14ac:dyDescent="0.55000000000000004">
      <c r="B87" s="137"/>
      <c r="C87" s="154">
        <f>G79</f>
        <v>8558.1494954322479</v>
      </c>
      <c r="D87" s="110">
        <f>E87-0.005</f>
        <v>1.4999999999999999E-2</v>
      </c>
      <c r="E87" s="110">
        <f>F87-0.005</f>
        <v>0.02</v>
      </c>
      <c r="F87" s="111">
        <v>2.5000000000000001E-2</v>
      </c>
      <c r="G87" s="110">
        <f>F87+0.005</f>
        <v>3.0000000000000002E-2</v>
      </c>
      <c r="H87" s="110">
        <f>G87+0.005</f>
        <v>3.5000000000000003E-2</v>
      </c>
      <c r="I87" s="137"/>
      <c r="J87" s="112"/>
      <c r="K87" s="113" cm="1">
        <f t="array" ref="K87:O87">D87:H87</f>
        <v>1.4999999999999999E-2</v>
      </c>
      <c r="L87" s="113">
        <v>0.02</v>
      </c>
      <c r="M87" s="113">
        <v>2.5000000000000001E-2</v>
      </c>
      <c r="N87" s="113">
        <v>3.0000000000000002E-2</v>
      </c>
      <c r="O87" s="113">
        <v>3.5000000000000003E-2</v>
      </c>
      <c r="P87" s="45"/>
    </row>
    <row r="88" spans="2:16" ht="15.75" x14ac:dyDescent="0.55000000000000004">
      <c r="B88" s="291" t="s">
        <v>7</v>
      </c>
      <c r="C88" s="110">
        <f>C89-0.01</f>
        <v>7.9880848400000024E-2</v>
      </c>
      <c r="D88" s="114">
        <f t="dataTable" ref="D88:H92" dt2D="1" dtr="1" r1="G47" r2="G48"/>
        <v>10504.84096153003</v>
      </c>
      <c r="E88" s="115">
        <v>11201.297353883883</v>
      </c>
      <c r="F88" s="115">
        <v>12024.657103721882</v>
      </c>
      <c r="G88" s="115">
        <v>13013.082159433467</v>
      </c>
      <c r="H88" s="116">
        <v>14221.740363792838</v>
      </c>
      <c r="I88" s="291" t="s">
        <v>7</v>
      </c>
      <c r="J88" s="113">
        <f>C88</f>
        <v>7.9880848400000024E-2</v>
      </c>
      <c r="K88" s="185">
        <f>D100/$N$77</f>
        <v>10.15030263316962</v>
      </c>
      <c r="L88" s="186">
        <f t="shared" ref="L88:O92" si="6">E100/$N$77</f>
        <v>11.254037010909482</v>
      </c>
      <c r="M88" s="186">
        <f t="shared" si="6"/>
        <v>12.558886059781113</v>
      </c>
      <c r="N88" s="186">
        <f t="shared" si="6"/>
        <v>14.125328303381089</v>
      </c>
      <c r="O88" s="187">
        <f t="shared" si="6"/>
        <v>16.040792969560759</v>
      </c>
      <c r="P88" s="45"/>
    </row>
    <row r="89" spans="2:16" ht="15.75" x14ac:dyDescent="0.55000000000000004">
      <c r="B89" s="291"/>
      <c r="C89" s="110">
        <f>C90-0.01</f>
        <v>8.9880848400000019E-2</v>
      </c>
      <c r="D89" s="117">
        <v>9004.697135554934</v>
      </c>
      <c r="E89" s="125">
        <v>9498.4999470117873</v>
      </c>
      <c r="F89" s="125">
        <v>10068.411937623088</v>
      </c>
      <c r="G89" s="125">
        <v>10733.4982629072</v>
      </c>
      <c r="H89" s="118">
        <v>11519.771913947758</v>
      </c>
      <c r="I89" s="291"/>
      <c r="J89" s="113">
        <f>C89</f>
        <v>8.9880848400000019E-2</v>
      </c>
      <c r="K89" s="188">
        <f t="shared" ref="K89:K92" si="7">D101/$N$77</f>
        <v>7.7728956189460128</v>
      </c>
      <c r="L89" s="155">
        <f t="shared" si="6"/>
        <v>8.5554674279109157</v>
      </c>
      <c r="M89" s="155">
        <f t="shared" si="6"/>
        <v>9.4586560025722477</v>
      </c>
      <c r="N89" s="155">
        <f t="shared" si="6"/>
        <v>10.512675535510619</v>
      </c>
      <c r="O89" s="189">
        <f t="shared" si="6"/>
        <v>11.758751052215146</v>
      </c>
      <c r="P89" s="45"/>
    </row>
    <row r="90" spans="2:16" ht="15.75" x14ac:dyDescent="0.55000000000000004">
      <c r="B90" s="291"/>
      <c r="C90" s="236">
        <v>9.9880848400000014E-2</v>
      </c>
      <c r="D90" s="117">
        <v>7861.705856557639</v>
      </c>
      <c r="E90" s="125">
        <v>8225.786012684086</v>
      </c>
      <c r="F90" s="119">
        <v>8638.487433647384</v>
      </c>
      <c r="G90" s="125">
        <v>9110.2467267476914</v>
      </c>
      <c r="H90" s="118">
        <v>9654.7176604529195</v>
      </c>
      <c r="I90" s="291"/>
      <c r="J90" s="113">
        <f>C90</f>
        <v>9.9880848400000014E-2</v>
      </c>
      <c r="K90" s="188">
        <f t="shared" si="7"/>
        <v>5.9614989802815197</v>
      </c>
      <c r="L90" s="155">
        <f t="shared" si="6"/>
        <v>6.5384881342061583</v>
      </c>
      <c r="M90" s="155">
        <f t="shared" si="6"/>
        <v>7.1925315905663769</v>
      </c>
      <c r="N90" s="155">
        <f t="shared" si="6"/>
        <v>7.9401691390613172</v>
      </c>
      <c r="O90" s="189">
        <f t="shared" si="6"/>
        <v>8.8030390815418684</v>
      </c>
      <c r="P90" s="45"/>
    </row>
    <row r="91" spans="2:16" ht="15.75" x14ac:dyDescent="0.55000000000000004">
      <c r="B91" s="291"/>
      <c r="C91" s="110">
        <f>C90+0.01</f>
        <v>0.10988084840000001</v>
      </c>
      <c r="D91" s="117">
        <v>6962.7714409082782</v>
      </c>
      <c r="E91" s="125">
        <v>7239.4338022412667</v>
      </c>
      <c r="F91" s="125">
        <v>7548.690366689334</v>
      </c>
      <c r="G91" s="125">
        <v>7896.6616632218029</v>
      </c>
      <c r="H91" s="118">
        <v>8291.1029589553582</v>
      </c>
      <c r="I91" s="291"/>
      <c r="J91" s="113">
        <f>C91</f>
        <v>0.10988084840000001</v>
      </c>
      <c r="K91" s="188">
        <f t="shared" si="7"/>
        <v>4.5368802550051957</v>
      </c>
      <c r="L91" s="155">
        <f t="shared" si="6"/>
        <v>4.9753309068799787</v>
      </c>
      <c r="M91" s="155">
        <f t="shared" si="6"/>
        <v>5.4654363972889604</v>
      </c>
      <c r="N91" s="155">
        <f t="shared" si="6"/>
        <v>6.0168964551851074</v>
      </c>
      <c r="O91" s="189">
        <f t="shared" si="6"/>
        <v>6.642001519739078</v>
      </c>
      <c r="P91" s="45"/>
    </row>
    <row r="92" spans="2:16" ht="15.75" x14ac:dyDescent="0.55000000000000004">
      <c r="B92" s="291"/>
      <c r="C92" s="110">
        <f>C91+0.01</f>
        <v>0.1198808484</v>
      </c>
      <c r="D92" s="120">
        <v>6237.9403368789763</v>
      </c>
      <c r="E92" s="121">
        <v>6453.2879619723517</v>
      </c>
      <c r="F92" s="121">
        <v>6691.3322248724953</v>
      </c>
      <c r="G92" s="121">
        <v>6955.8609132245183</v>
      </c>
      <c r="H92" s="122">
        <v>7251.5543099104443</v>
      </c>
      <c r="I92" s="291"/>
      <c r="J92" s="113">
        <f>C92</f>
        <v>0.1198808484</v>
      </c>
      <c r="K92" s="190">
        <f t="shared" si="7"/>
        <v>3.3881780299191382</v>
      </c>
      <c r="L92" s="191">
        <f t="shared" si="6"/>
        <v>3.7294579429038852</v>
      </c>
      <c r="M92" s="191">
        <f t="shared" si="6"/>
        <v>4.1067071709548264</v>
      </c>
      <c r="N92" s="191">
        <f t="shared" si="6"/>
        <v>4.5259285471070019</v>
      </c>
      <c r="O92" s="192">
        <f t="shared" si="6"/>
        <v>4.9945393184000704</v>
      </c>
      <c r="P92" s="45"/>
    </row>
    <row r="93" spans="2:16" ht="15.75" x14ac:dyDescent="0.55000000000000004">
      <c r="B93" s="137"/>
      <c r="C93" s="147"/>
      <c r="D93" s="147"/>
      <c r="E93" s="147"/>
      <c r="F93" s="147"/>
      <c r="G93" s="147"/>
      <c r="H93" s="84"/>
      <c r="I93" s="45"/>
      <c r="J93" s="45"/>
      <c r="K93" s="45"/>
      <c r="L93" s="45"/>
      <c r="M93" s="45"/>
      <c r="N93" s="45"/>
      <c r="O93" s="84"/>
      <c r="P93" s="45"/>
    </row>
    <row r="94" spans="2:16" ht="15.75" x14ac:dyDescent="0.55000000000000004">
      <c r="B94" s="137"/>
      <c r="C94" s="147"/>
      <c r="D94" s="147"/>
      <c r="E94" s="147"/>
      <c r="F94" s="147"/>
      <c r="G94" s="147"/>
      <c r="H94" s="147"/>
      <c r="I94" s="147"/>
      <c r="J94" s="147"/>
      <c r="K94" s="147"/>
      <c r="L94" s="147"/>
      <c r="M94" s="147"/>
      <c r="N94" s="147"/>
      <c r="O94" s="147"/>
      <c r="P94" s="45"/>
    </row>
    <row r="95" spans="2:16" ht="15.75" x14ac:dyDescent="0.55000000000000004">
      <c r="B95" s="137"/>
      <c r="C95" s="147"/>
      <c r="D95" s="147"/>
      <c r="E95" s="147"/>
      <c r="F95" s="147"/>
      <c r="G95" s="147"/>
      <c r="H95" s="147"/>
      <c r="I95" s="147"/>
      <c r="J95" s="147"/>
      <c r="K95" s="147"/>
      <c r="L95" s="147"/>
      <c r="M95" s="147"/>
      <c r="N95" s="147"/>
      <c r="O95" s="147"/>
      <c r="P95" s="45"/>
    </row>
    <row r="96" spans="2:16" ht="15.75" x14ac:dyDescent="0.55000000000000004">
      <c r="B96" s="137"/>
      <c r="C96" s="147"/>
      <c r="D96" s="107" t="s">
        <v>44</v>
      </c>
      <c r="E96" s="149"/>
      <c r="F96" s="149"/>
      <c r="G96" s="149"/>
      <c r="H96" s="149"/>
      <c r="I96" s="147"/>
      <c r="J96" s="147"/>
      <c r="K96" s="107" t="s">
        <v>55</v>
      </c>
      <c r="L96" s="150"/>
      <c r="M96" s="150"/>
      <c r="N96" s="150"/>
      <c r="O96" s="150"/>
      <c r="P96" s="45"/>
    </row>
    <row r="97" spans="2:16" ht="15.75" x14ac:dyDescent="0.55000000000000004">
      <c r="B97" s="137"/>
      <c r="C97" s="45"/>
      <c r="D97" s="151"/>
      <c r="E97" s="151"/>
      <c r="F97" s="151"/>
      <c r="G97" s="151"/>
      <c r="H97" s="151"/>
      <c r="I97" s="147"/>
      <c r="J97" s="147"/>
      <c r="K97" s="152"/>
      <c r="L97" s="152"/>
      <c r="M97" s="152"/>
      <c r="N97" s="152"/>
      <c r="O97" s="152"/>
      <c r="P97" s="45"/>
    </row>
    <row r="98" spans="2:16" ht="15.75" x14ac:dyDescent="0.55000000000000004">
      <c r="B98" s="148"/>
      <c r="C98" s="148"/>
      <c r="D98" s="108" t="s">
        <v>31</v>
      </c>
      <c r="E98" s="109"/>
      <c r="F98" s="109"/>
      <c r="G98" s="109"/>
      <c r="H98" s="109"/>
      <c r="I98" s="153"/>
      <c r="J98" s="153"/>
      <c r="K98" s="108" t="s">
        <v>31</v>
      </c>
      <c r="L98" s="109"/>
      <c r="M98" s="109"/>
      <c r="N98" s="109"/>
      <c r="O98" s="109"/>
      <c r="P98" s="148"/>
    </row>
    <row r="99" spans="2:16" ht="15.75" x14ac:dyDescent="0.55000000000000004">
      <c r="B99" s="147"/>
      <c r="C99" s="123"/>
      <c r="D99" s="113">
        <f>D87</f>
        <v>1.4999999999999999E-2</v>
      </c>
      <c r="E99" s="113">
        <f>E87</f>
        <v>0.02</v>
      </c>
      <c r="F99" s="113">
        <f>F87</f>
        <v>2.5000000000000001E-2</v>
      </c>
      <c r="G99" s="113">
        <f>G87</f>
        <v>3.0000000000000002E-2</v>
      </c>
      <c r="H99" s="113">
        <f>H87</f>
        <v>3.5000000000000003E-2</v>
      </c>
      <c r="I99" s="147"/>
      <c r="J99" s="124"/>
      <c r="K99" s="113">
        <f>K87</f>
        <v>1.4999999999999999E-2</v>
      </c>
      <c r="L99" s="113">
        <f t="shared" ref="L99:O99" si="8">L87</f>
        <v>0.02</v>
      </c>
      <c r="M99" s="113">
        <f t="shared" si="8"/>
        <v>2.5000000000000001E-2</v>
      </c>
      <c r="N99" s="113">
        <f t="shared" si="8"/>
        <v>3.0000000000000002E-2</v>
      </c>
      <c r="O99" s="113">
        <f t="shared" si="8"/>
        <v>3.5000000000000003E-2</v>
      </c>
      <c r="P99" s="45"/>
    </row>
    <row r="100" spans="2:16" ht="15.75" x14ac:dyDescent="0.55000000000000004">
      <c r="B100" s="291" t="s">
        <v>7</v>
      </c>
      <c r="C100" s="113">
        <f>C88</f>
        <v>7.9880848400000024E-2</v>
      </c>
      <c r="D100" s="177">
        <f>D88-$G$80</f>
        <v>6404.8409615300297</v>
      </c>
      <c r="E100" s="178">
        <f t="shared" ref="E100:H100" si="9">E88-$G$80</f>
        <v>7101.2973538838833</v>
      </c>
      <c r="F100" s="178">
        <f t="shared" si="9"/>
        <v>7924.6571037218819</v>
      </c>
      <c r="G100" s="178">
        <f t="shared" si="9"/>
        <v>8913.0821594334666</v>
      </c>
      <c r="H100" s="179">
        <f t="shared" si="9"/>
        <v>10121.740363792838</v>
      </c>
      <c r="I100" s="291" t="s">
        <v>7</v>
      </c>
      <c r="J100" s="113">
        <f>J88</f>
        <v>7.9880848400000024E-2</v>
      </c>
      <c r="K100" s="169">
        <f>K88/$N$78-1</f>
        <v>24.375756582924048</v>
      </c>
      <c r="L100" s="170">
        <f t="shared" ref="L100:O100" si="10">L88/$N$78-1</f>
        <v>27.135092527273702</v>
      </c>
      <c r="M100" s="170">
        <f t="shared" si="10"/>
        <v>30.39721514945278</v>
      </c>
      <c r="N100" s="170">
        <f t="shared" si="10"/>
        <v>34.313320758452718</v>
      </c>
      <c r="O100" s="171">
        <f t="shared" si="10"/>
        <v>39.101982423901894</v>
      </c>
      <c r="P100" s="45"/>
    </row>
    <row r="101" spans="2:16" ht="15.75" x14ac:dyDescent="0.55000000000000004">
      <c r="B101" s="291"/>
      <c r="C101" s="113">
        <f>C89</f>
        <v>8.9880848400000019E-2</v>
      </c>
      <c r="D101" s="180">
        <f t="shared" ref="D101:H104" si="11">D89-$G$80</f>
        <v>4904.697135554934</v>
      </c>
      <c r="E101" s="125">
        <f t="shared" si="11"/>
        <v>5398.4999470117873</v>
      </c>
      <c r="F101" s="125">
        <f t="shared" si="11"/>
        <v>5968.4119376230883</v>
      </c>
      <c r="G101" s="125">
        <f t="shared" si="11"/>
        <v>6633.4982629072001</v>
      </c>
      <c r="H101" s="181">
        <f t="shared" si="11"/>
        <v>7419.7719139477576</v>
      </c>
      <c r="I101" s="291"/>
      <c r="J101" s="113">
        <f t="shared" ref="J101:J104" si="12">J89</f>
        <v>8.9880848400000019E-2</v>
      </c>
      <c r="K101" s="172">
        <f t="shared" ref="K101:O104" si="13">K89/$N$78-1</f>
        <v>18.43223904736503</v>
      </c>
      <c r="L101" s="156">
        <f t="shared" si="13"/>
        <v>20.388668569777288</v>
      </c>
      <c r="M101" s="156">
        <f t="shared" si="13"/>
        <v>22.646640006430619</v>
      </c>
      <c r="N101" s="156">
        <f t="shared" si="13"/>
        <v>25.281688838776546</v>
      </c>
      <c r="O101" s="173">
        <f t="shared" si="13"/>
        <v>28.396877630537865</v>
      </c>
      <c r="P101" s="45"/>
    </row>
    <row r="102" spans="2:16" ht="15.75" x14ac:dyDescent="0.55000000000000004">
      <c r="B102" s="291"/>
      <c r="C102" s="113">
        <f>C90</f>
        <v>9.9880848400000014E-2</v>
      </c>
      <c r="D102" s="180">
        <f t="shared" si="11"/>
        <v>3761.705856557639</v>
      </c>
      <c r="E102" s="125">
        <f t="shared" si="11"/>
        <v>4125.786012684086</v>
      </c>
      <c r="F102" s="125">
        <f t="shared" si="11"/>
        <v>4538.487433647384</v>
      </c>
      <c r="G102" s="125">
        <f t="shared" si="11"/>
        <v>5010.2467267476914</v>
      </c>
      <c r="H102" s="181">
        <f t="shared" si="11"/>
        <v>5554.7176604529195</v>
      </c>
      <c r="I102" s="291"/>
      <c r="J102" s="113">
        <f t="shared" si="12"/>
        <v>9.9880848400000014E-2</v>
      </c>
      <c r="K102" s="172">
        <f t="shared" si="13"/>
        <v>13.903747450703799</v>
      </c>
      <c r="L102" s="156">
        <f t="shared" si="13"/>
        <v>15.346220335515394</v>
      </c>
      <c r="M102" s="156">
        <f t="shared" si="13"/>
        <v>16.981328976415941</v>
      </c>
      <c r="N102" s="156">
        <f t="shared" si="13"/>
        <v>18.850422847653292</v>
      </c>
      <c r="O102" s="173">
        <f t="shared" si="13"/>
        <v>21.007597703854671</v>
      </c>
      <c r="P102" s="45"/>
    </row>
    <row r="103" spans="2:16" ht="15.75" x14ac:dyDescent="0.55000000000000004">
      <c r="B103" s="291"/>
      <c r="C103" s="113">
        <f>C91</f>
        <v>0.10988084840000001</v>
      </c>
      <c r="D103" s="180">
        <f t="shared" si="11"/>
        <v>2862.7714409082782</v>
      </c>
      <c r="E103" s="125">
        <f t="shared" si="11"/>
        <v>3139.4338022412667</v>
      </c>
      <c r="F103" s="125">
        <f t="shared" si="11"/>
        <v>3448.690366689334</v>
      </c>
      <c r="G103" s="125">
        <f t="shared" si="11"/>
        <v>3796.6616632218029</v>
      </c>
      <c r="H103" s="181">
        <f t="shared" si="11"/>
        <v>4191.1029589553582</v>
      </c>
      <c r="I103" s="291"/>
      <c r="J103" s="113">
        <f t="shared" si="12"/>
        <v>0.10988084840000001</v>
      </c>
      <c r="K103" s="172">
        <f t="shared" si="13"/>
        <v>10.342200637512988</v>
      </c>
      <c r="L103" s="156">
        <f t="shared" si="13"/>
        <v>11.438327267199947</v>
      </c>
      <c r="M103" s="156">
        <f t="shared" si="13"/>
        <v>12.6635909932224</v>
      </c>
      <c r="N103" s="156">
        <f t="shared" si="13"/>
        <v>14.042241137962767</v>
      </c>
      <c r="O103" s="173">
        <f t="shared" si="13"/>
        <v>15.605003799347696</v>
      </c>
      <c r="P103" s="45"/>
    </row>
    <row r="104" spans="2:16" ht="15.75" x14ac:dyDescent="0.55000000000000004">
      <c r="B104" s="291"/>
      <c r="C104" s="113">
        <f>C92</f>
        <v>0.1198808484</v>
      </c>
      <c r="D104" s="182">
        <f t="shared" si="11"/>
        <v>2137.9403368789763</v>
      </c>
      <c r="E104" s="183">
        <f t="shared" si="11"/>
        <v>2353.2879619723517</v>
      </c>
      <c r="F104" s="183">
        <f t="shared" si="11"/>
        <v>2591.3322248724953</v>
      </c>
      <c r="G104" s="183">
        <f t="shared" si="11"/>
        <v>2855.8609132245183</v>
      </c>
      <c r="H104" s="184">
        <f t="shared" si="11"/>
        <v>3151.5543099104443</v>
      </c>
      <c r="I104" s="291"/>
      <c r="J104" s="113">
        <f t="shared" si="12"/>
        <v>0.1198808484</v>
      </c>
      <c r="K104" s="174">
        <f t="shared" si="13"/>
        <v>7.4704450747978441</v>
      </c>
      <c r="L104" s="175">
        <f t="shared" si="13"/>
        <v>8.3236448572597119</v>
      </c>
      <c r="M104" s="175">
        <f t="shared" si="13"/>
        <v>9.2667679273870647</v>
      </c>
      <c r="N104" s="175">
        <f t="shared" si="13"/>
        <v>10.314821367767504</v>
      </c>
      <c r="O104" s="176">
        <f t="shared" si="13"/>
        <v>11.486348296000175</v>
      </c>
      <c r="P104" s="45"/>
    </row>
    <row r="105" spans="2:16" ht="15.75" x14ac:dyDescent="0.55000000000000004">
      <c r="B105" s="147"/>
      <c r="C105" s="147"/>
      <c r="D105" s="126"/>
      <c r="E105" s="126"/>
      <c r="F105" s="126"/>
      <c r="G105" s="126"/>
      <c r="H105" s="84"/>
      <c r="I105" s="45"/>
      <c r="J105" s="45"/>
      <c r="K105" s="45"/>
      <c r="L105" s="45"/>
      <c r="M105" s="45"/>
      <c r="N105" s="45"/>
      <c r="O105" s="84"/>
      <c r="P105" s="45"/>
    </row>
    <row r="106" spans="2:16" ht="20.65" x14ac:dyDescent="0.55000000000000004">
      <c r="B106" s="134"/>
      <c r="C106" s="131"/>
      <c r="D106" s="10"/>
      <c r="E106" s="10"/>
      <c r="F106" s="10"/>
      <c r="G106" s="45"/>
      <c r="H106" s="45"/>
      <c r="I106" s="45"/>
      <c r="J106" s="45"/>
      <c r="K106" s="45"/>
      <c r="L106" s="45"/>
      <c r="M106" s="45"/>
      <c r="N106" s="134"/>
      <c r="O106" s="134"/>
      <c r="P106" s="134"/>
    </row>
    <row r="107" spans="2:16" ht="15.75" x14ac:dyDescent="0.55000000000000004">
      <c r="B107" s="137"/>
      <c r="C107" s="147"/>
      <c r="D107" s="147"/>
      <c r="E107" s="147"/>
      <c r="F107" s="147"/>
      <c r="G107" s="147"/>
      <c r="H107" s="147"/>
      <c r="I107" s="147"/>
      <c r="J107" s="147"/>
      <c r="K107" s="147"/>
      <c r="L107" s="147"/>
      <c r="M107" s="147"/>
      <c r="N107" s="45"/>
      <c r="O107" s="47" t="s">
        <v>49</v>
      </c>
      <c r="P107" s="45"/>
    </row>
    <row r="108" spans="2:16" ht="15.75" x14ac:dyDescent="0.55000000000000004">
      <c r="B108" s="137"/>
      <c r="C108" s="147"/>
      <c r="D108" s="147"/>
      <c r="E108" s="147"/>
      <c r="F108" s="147"/>
      <c r="G108" s="147"/>
      <c r="H108" s="147"/>
      <c r="I108" s="147"/>
      <c r="J108" s="147"/>
      <c r="K108" s="147"/>
      <c r="L108" s="147"/>
      <c r="M108" s="147"/>
      <c r="N108" s="45"/>
      <c r="O108" s="97" t="s">
        <v>56</v>
      </c>
      <c r="P108" s="45"/>
    </row>
    <row r="109" spans="2:16" ht="15.75" x14ac:dyDescent="0.55000000000000004">
      <c r="B109" s="137"/>
      <c r="C109" s="147"/>
      <c r="D109" s="147"/>
      <c r="E109" s="147"/>
      <c r="F109" s="147"/>
      <c r="G109" s="147"/>
      <c r="H109" s="147"/>
      <c r="I109" s="147"/>
      <c r="J109" s="147"/>
      <c r="K109" s="147"/>
      <c r="L109" s="147"/>
      <c r="M109" s="147"/>
      <c r="N109" s="45"/>
      <c r="O109" s="97"/>
      <c r="P109" s="45"/>
    </row>
    <row r="110" spans="2:16" ht="15" x14ac:dyDescent="0.55000000000000004">
      <c r="B110" s="48"/>
      <c r="C110" s="33"/>
      <c r="D110" s="34"/>
      <c r="E110" s="35"/>
      <c r="F110" s="49"/>
      <c r="G110" s="49"/>
      <c r="H110" s="49"/>
      <c r="I110" s="49"/>
      <c r="J110" s="49"/>
      <c r="K110" s="49"/>
      <c r="L110" s="49"/>
      <c r="M110" s="49"/>
      <c r="N110" s="49"/>
      <c r="O110" s="49"/>
      <c r="P110" s="49" t="s">
        <v>57</v>
      </c>
    </row>
  </sheetData>
  <mergeCells count="4">
    <mergeCell ref="B88:B92"/>
    <mergeCell ref="I88:I92"/>
    <mergeCell ref="B100:B104"/>
    <mergeCell ref="I100:I10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999B-0B4C-4B7D-96FD-D71598F6CA0D}">
  <dimension ref="B2:O43"/>
  <sheetViews>
    <sheetView showGridLines="0" topLeftCell="A11" zoomScale="88" zoomScaleNormal="160" workbookViewId="0">
      <selection activeCell="E8" sqref="E8"/>
    </sheetView>
  </sheetViews>
  <sheetFormatPr defaultRowHeight="14.25" x14ac:dyDescent="0.45"/>
  <cols>
    <col min="2" max="2" width="9.265625" bestFit="1" customWidth="1"/>
    <col min="3" max="3" width="9.73046875" customWidth="1"/>
    <col min="4" max="7" width="9.265625" bestFit="1" customWidth="1"/>
    <col min="14" max="14" width="9.06640625" customWidth="1"/>
  </cols>
  <sheetData>
    <row r="2" spans="2:15" ht="21" x14ac:dyDescent="0.65">
      <c r="B2" s="168" t="s">
        <v>65</v>
      </c>
      <c r="C2" s="167"/>
      <c r="D2" s="167"/>
      <c r="E2" s="167"/>
      <c r="F2" s="167"/>
      <c r="G2" s="167"/>
      <c r="H2" s="167"/>
      <c r="I2" s="167"/>
      <c r="J2" s="167"/>
      <c r="K2" s="167"/>
      <c r="L2" s="167"/>
    </row>
    <row r="3" spans="2:15" ht="21" x14ac:dyDescent="0.65">
      <c r="B3" s="198"/>
    </row>
    <row r="4" spans="2:15" ht="15.4" customHeight="1" x14ac:dyDescent="0.45">
      <c r="B4" s="289" t="s">
        <v>69</v>
      </c>
      <c r="C4" s="289"/>
      <c r="D4" s="289"/>
      <c r="E4" s="289"/>
      <c r="G4" s="289" t="s">
        <v>88</v>
      </c>
      <c r="H4" s="289"/>
      <c r="I4" s="289"/>
      <c r="J4" s="289"/>
      <c r="L4" s="276"/>
      <c r="M4" s="276"/>
      <c r="N4" s="276"/>
      <c r="O4" s="276"/>
    </row>
    <row r="5" spans="2:15" x14ac:dyDescent="0.45">
      <c r="B5" s="2" t="s">
        <v>0</v>
      </c>
      <c r="C5" s="166" t="s">
        <v>4</v>
      </c>
      <c r="D5" s="227" t="s">
        <v>62</v>
      </c>
      <c r="E5" s="227" t="s">
        <v>6</v>
      </c>
      <c r="G5" s="2" t="s">
        <v>0</v>
      </c>
      <c r="H5" s="166" t="s">
        <v>4</v>
      </c>
      <c r="I5" s="227" t="s">
        <v>62</v>
      </c>
      <c r="J5" s="227" t="s">
        <v>6</v>
      </c>
      <c r="L5" s="2"/>
      <c r="M5" s="166"/>
      <c r="N5" s="166"/>
      <c r="O5" s="166"/>
    </row>
    <row r="6" spans="2:15" x14ac:dyDescent="0.45">
      <c r="B6" t="s">
        <v>63</v>
      </c>
      <c r="C6" s="228">
        <v>0.05</v>
      </c>
      <c r="D6" s="228">
        <v>0.15</v>
      </c>
      <c r="E6" s="228">
        <v>0.25</v>
      </c>
      <c r="G6" t="s">
        <v>63</v>
      </c>
      <c r="H6" s="228">
        <v>0.35</v>
      </c>
      <c r="I6" s="228">
        <v>0.4</v>
      </c>
      <c r="J6" s="228">
        <v>0.45</v>
      </c>
      <c r="M6" s="274"/>
      <c r="N6" s="274"/>
      <c r="O6" s="272"/>
    </row>
    <row r="7" spans="2:15" x14ac:dyDescent="0.45">
      <c r="B7" t="s">
        <v>64</v>
      </c>
      <c r="C7" s="228">
        <v>0.35</v>
      </c>
      <c r="D7" s="228">
        <v>0.15</v>
      </c>
      <c r="E7" s="228">
        <v>-0.05</v>
      </c>
      <c r="G7" t="s">
        <v>64</v>
      </c>
      <c r="H7" s="228">
        <v>0.5</v>
      </c>
      <c r="I7" s="228">
        <v>0.4</v>
      </c>
      <c r="J7" s="228">
        <v>0.3</v>
      </c>
      <c r="M7" s="274"/>
      <c r="N7" s="274"/>
      <c r="O7" s="272"/>
    </row>
    <row r="8" spans="2:15" x14ac:dyDescent="0.45">
      <c r="B8" t="s">
        <v>91</v>
      </c>
      <c r="C8" s="195">
        <v>3</v>
      </c>
      <c r="D8" s="195">
        <v>3</v>
      </c>
      <c r="E8" s="195">
        <v>3</v>
      </c>
      <c r="G8" t="s">
        <v>91</v>
      </c>
      <c r="H8" s="195">
        <v>3</v>
      </c>
      <c r="I8" s="195">
        <v>3</v>
      </c>
      <c r="J8" s="195">
        <v>3</v>
      </c>
      <c r="M8" s="195"/>
      <c r="N8" s="195"/>
      <c r="O8" s="195"/>
    </row>
    <row r="9" spans="2:15" x14ac:dyDescent="0.45">
      <c r="B9" t="s">
        <v>92</v>
      </c>
      <c r="C9" s="248">
        <f>(C7-C6)/C8</f>
        <v>9.9999999999999992E-2</v>
      </c>
      <c r="D9" s="248">
        <f t="shared" ref="D9:E9" si="0">(D7-D6)/D8</f>
        <v>0</v>
      </c>
      <c r="E9" s="248">
        <f t="shared" si="0"/>
        <v>-9.9999999999999992E-2</v>
      </c>
      <c r="G9" t="s">
        <v>92</v>
      </c>
      <c r="H9" s="248">
        <f>(H7-H6)/H8</f>
        <v>5.000000000000001E-2</v>
      </c>
      <c r="I9" s="248">
        <f t="shared" ref="I9:J9" si="1">(I7-I6)/I8</f>
        <v>0</v>
      </c>
      <c r="J9" s="248">
        <f t="shared" si="1"/>
        <v>-5.000000000000001E-2</v>
      </c>
      <c r="M9" s="248"/>
      <c r="N9" s="248"/>
      <c r="O9" s="248"/>
    </row>
    <row r="10" spans="2:15" x14ac:dyDescent="0.45">
      <c r="C10" s="195"/>
      <c r="D10" s="195"/>
      <c r="E10" s="195"/>
      <c r="H10" s="195"/>
      <c r="I10" s="195"/>
      <c r="J10" s="195"/>
    </row>
    <row r="11" spans="2:15" x14ac:dyDescent="0.45">
      <c r="C11" s="195"/>
      <c r="D11" s="195"/>
      <c r="E11" s="195"/>
      <c r="H11" s="195"/>
      <c r="I11" s="195"/>
      <c r="J11" s="195"/>
    </row>
    <row r="12" spans="2:15" x14ac:dyDescent="0.45">
      <c r="C12" s="195"/>
      <c r="D12" s="195"/>
      <c r="E12" s="195"/>
    </row>
    <row r="13" spans="2:15" x14ac:dyDescent="0.45">
      <c r="C13" s="195"/>
      <c r="D13" s="195"/>
      <c r="E13" s="195"/>
    </row>
    <row r="15" spans="2:15" ht="21" x14ac:dyDescent="0.65">
      <c r="B15" s="168" t="s">
        <v>68</v>
      </c>
      <c r="C15" s="167"/>
      <c r="D15" s="167"/>
      <c r="E15" s="167"/>
      <c r="F15" s="167"/>
      <c r="G15" s="167"/>
      <c r="H15" s="167"/>
      <c r="I15" s="167"/>
      <c r="J15" s="167"/>
      <c r="K15" s="167"/>
      <c r="L15" s="167"/>
    </row>
    <row r="16" spans="2:15" x14ac:dyDescent="0.45">
      <c r="B16" s="196" t="s">
        <v>66</v>
      </c>
      <c r="I16" s="197">
        <v>2015</v>
      </c>
      <c r="J16" s="197">
        <f>I16+1</f>
        <v>2016</v>
      </c>
      <c r="K16" s="197">
        <f t="shared" ref="K16" si="2">J16+1</f>
        <v>2017</v>
      </c>
      <c r="L16" s="277" t="s">
        <v>10</v>
      </c>
      <c r="M16" s="197"/>
      <c r="N16" s="166"/>
    </row>
    <row r="18" spans="2:14" ht="14.25" hidden="1" customHeight="1" x14ac:dyDescent="0.45">
      <c r="I18">
        <v>1</v>
      </c>
      <c r="J18">
        <f>I18+1</f>
        <v>2</v>
      </c>
      <c r="K18">
        <f t="shared" ref="K18:L18" si="3">J18+1</f>
        <v>3</v>
      </c>
      <c r="L18">
        <f t="shared" si="3"/>
        <v>4</v>
      </c>
    </row>
    <row r="19" spans="2:14" x14ac:dyDescent="0.45">
      <c r="B19" s="2" t="s">
        <v>4</v>
      </c>
      <c r="H19" s="249">
        <f>C6</f>
        <v>0.05</v>
      </c>
      <c r="I19" s="157">
        <f>H19+$C$9</f>
        <v>0.15</v>
      </c>
      <c r="J19" s="158">
        <f t="shared" ref="J19:K19" si="4">I19+$C$9</f>
        <v>0.25</v>
      </c>
      <c r="K19" s="158">
        <f t="shared" si="4"/>
        <v>0.35</v>
      </c>
      <c r="L19" s="159">
        <f>K19</f>
        <v>0.35</v>
      </c>
      <c r="M19" s="275"/>
      <c r="N19" s="275"/>
    </row>
    <row r="22" spans="2:14" ht="14.25" hidden="1" customHeight="1" x14ac:dyDescent="0.45">
      <c r="I22">
        <v>1</v>
      </c>
      <c r="J22">
        <f>I22+1</f>
        <v>2</v>
      </c>
      <c r="K22">
        <f>J22+1</f>
        <v>3</v>
      </c>
      <c r="L22">
        <f>K22+1</f>
        <v>4</v>
      </c>
    </row>
    <row r="23" spans="2:14" x14ac:dyDescent="0.45">
      <c r="B23" s="2" t="s">
        <v>5</v>
      </c>
      <c r="H23" s="249">
        <f>D6</f>
        <v>0.15</v>
      </c>
      <c r="I23" s="157">
        <f>H23+$D$9</f>
        <v>0.15</v>
      </c>
      <c r="J23" s="158">
        <f t="shared" ref="J23:K23" si="5">I23+$D$9</f>
        <v>0.15</v>
      </c>
      <c r="K23" s="158">
        <f t="shared" si="5"/>
        <v>0.15</v>
      </c>
      <c r="L23" s="159">
        <f>K23</f>
        <v>0.15</v>
      </c>
      <c r="M23" s="275"/>
      <c r="N23" s="275"/>
    </row>
    <row r="26" spans="2:14" ht="14.25" hidden="1" customHeight="1" x14ac:dyDescent="0.45">
      <c r="I26">
        <v>1</v>
      </c>
      <c r="J26">
        <f>I26+1</f>
        <v>2</v>
      </c>
      <c r="K26">
        <f t="shared" ref="K26:L26" si="6">J26+1</f>
        <v>3</v>
      </c>
      <c r="L26">
        <f t="shared" si="6"/>
        <v>4</v>
      </c>
    </row>
    <row r="27" spans="2:14" x14ac:dyDescent="0.45">
      <c r="B27" s="2" t="s">
        <v>6</v>
      </c>
      <c r="H27" s="249">
        <f>E6</f>
        <v>0.25</v>
      </c>
      <c r="I27" s="157">
        <f>H27+$E$9</f>
        <v>0.15000000000000002</v>
      </c>
      <c r="J27" s="158">
        <f t="shared" ref="J27:K27" si="7">I27+$E$9</f>
        <v>5.0000000000000031E-2</v>
      </c>
      <c r="K27" s="158">
        <f t="shared" si="7"/>
        <v>-4.9999999999999961E-2</v>
      </c>
      <c r="L27" s="159">
        <f>K27</f>
        <v>-4.9999999999999961E-2</v>
      </c>
      <c r="M27" s="275"/>
      <c r="N27" s="275"/>
    </row>
    <row r="28" spans="2:14" x14ac:dyDescent="0.45">
      <c r="B28" s="2"/>
      <c r="I28" s="4"/>
      <c r="J28" s="4"/>
      <c r="K28" s="4"/>
      <c r="L28" s="273"/>
      <c r="M28" s="275"/>
      <c r="N28" s="275"/>
    </row>
    <row r="29" spans="2:14" ht="21" x14ac:dyDescent="0.65">
      <c r="B29" s="168" t="s">
        <v>89</v>
      </c>
      <c r="C29" s="167"/>
      <c r="D29" s="167"/>
      <c r="E29" s="167"/>
      <c r="F29" s="167"/>
      <c r="G29" s="167"/>
      <c r="H29" s="167"/>
      <c r="I29" s="167"/>
      <c r="J29" s="167"/>
      <c r="K29" s="167"/>
      <c r="L29" s="167"/>
    </row>
    <row r="30" spans="2:14" x14ac:dyDescent="0.45">
      <c r="B30" s="196" t="s">
        <v>66</v>
      </c>
      <c r="I30" s="197">
        <v>2015</v>
      </c>
      <c r="J30" s="197">
        <f>I30+1</f>
        <v>2016</v>
      </c>
      <c r="K30" s="197">
        <f t="shared" ref="K30" si="8">J30+1</f>
        <v>2017</v>
      </c>
      <c r="L30" s="277" t="s">
        <v>10</v>
      </c>
      <c r="M30" s="197"/>
      <c r="N30" s="166"/>
    </row>
    <row r="32" spans="2:14" x14ac:dyDescent="0.45">
      <c r="I32">
        <v>1</v>
      </c>
      <c r="J32">
        <f>I32+1</f>
        <v>2</v>
      </c>
      <c r="K32">
        <f t="shared" ref="K32:L32" si="9">J32+1</f>
        <v>3</v>
      </c>
      <c r="L32">
        <f t="shared" si="9"/>
        <v>4</v>
      </c>
    </row>
    <row r="33" spans="2:14" x14ac:dyDescent="0.45">
      <c r="B33" s="2" t="s">
        <v>4</v>
      </c>
      <c r="H33" s="249">
        <f>H6</f>
        <v>0.35</v>
      </c>
      <c r="I33" s="157">
        <f>H33+$H$9</f>
        <v>0.39999999999999997</v>
      </c>
      <c r="J33" s="158">
        <f t="shared" ref="J33:K33" si="10">I33+$H$9</f>
        <v>0.44999999999999996</v>
      </c>
      <c r="K33" s="158">
        <f t="shared" si="10"/>
        <v>0.49999999999999994</v>
      </c>
      <c r="L33" s="159">
        <f>K33</f>
        <v>0.49999999999999994</v>
      </c>
      <c r="M33" s="275"/>
      <c r="N33" s="275"/>
    </row>
    <row r="36" spans="2:14" x14ac:dyDescent="0.45">
      <c r="I36">
        <v>1</v>
      </c>
      <c r="J36">
        <f>I36+1</f>
        <v>2</v>
      </c>
      <c r="K36">
        <f>J36+1</f>
        <v>3</v>
      </c>
      <c r="L36">
        <f>K36+1</f>
        <v>4</v>
      </c>
    </row>
    <row r="37" spans="2:14" x14ac:dyDescent="0.45">
      <c r="B37" s="2" t="s">
        <v>5</v>
      </c>
      <c r="I37" s="157">
        <f>I6</f>
        <v>0.4</v>
      </c>
      <c r="J37" s="158">
        <f>I37</f>
        <v>0.4</v>
      </c>
      <c r="K37" s="158">
        <f t="shared" ref="K37" si="11">J37</f>
        <v>0.4</v>
      </c>
      <c r="L37" s="159">
        <f>K37</f>
        <v>0.4</v>
      </c>
      <c r="M37" s="275"/>
      <c r="N37" s="275"/>
    </row>
    <row r="40" spans="2:14" x14ac:dyDescent="0.45">
      <c r="I40">
        <v>1</v>
      </c>
      <c r="J40">
        <f>I40+1</f>
        <v>2</v>
      </c>
      <c r="K40">
        <f t="shared" ref="K40:L40" si="12">J40+1</f>
        <v>3</v>
      </c>
      <c r="L40">
        <f t="shared" si="12"/>
        <v>4</v>
      </c>
    </row>
    <row r="41" spans="2:14" x14ac:dyDescent="0.45">
      <c r="B41" s="2" t="s">
        <v>6</v>
      </c>
      <c r="H41" s="249">
        <f>J6</f>
        <v>0.45</v>
      </c>
      <c r="I41" s="157">
        <f>H41+$J$9</f>
        <v>0.4</v>
      </c>
      <c r="J41" s="158">
        <f t="shared" ref="J41:K41" si="13">I41+$J$9</f>
        <v>0.35000000000000003</v>
      </c>
      <c r="K41" s="158">
        <f t="shared" si="13"/>
        <v>0.30000000000000004</v>
      </c>
      <c r="L41" s="159">
        <f>K41</f>
        <v>0.30000000000000004</v>
      </c>
      <c r="M41" s="275"/>
      <c r="N41" s="275"/>
    </row>
    <row r="42" spans="2:14" x14ac:dyDescent="0.45">
      <c r="B42" s="2"/>
      <c r="I42" s="4"/>
      <c r="J42" s="4"/>
      <c r="K42" s="4"/>
      <c r="L42" s="273"/>
      <c r="M42" s="275"/>
      <c r="N42" s="275"/>
    </row>
    <row r="43" spans="2:14" ht="21" x14ac:dyDescent="0.65">
      <c r="B43" s="198"/>
    </row>
  </sheetData>
  <mergeCells count="2">
    <mergeCell ref="B4:E4"/>
    <mergeCell ref="G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E067-8358-4307-9927-E4182FDCFE09}">
  <dimension ref="B1:M46"/>
  <sheetViews>
    <sheetView showGridLines="0" zoomScale="84" workbookViewId="0">
      <selection activeCell="D15" sqref="D15"/>
    </sheetView>
  </sheetViews>
  <sheetFormatPr defaultRowHeight="14.25" x14ac:dyDescent="0.45"/>
  <cols>
    <col min="2" max="2" width="15.9296875" bestFit="1" customWidth="1"/>
    <col min="3" max="3" width="20.265625" customWidth="1"/>
    <col min="4" max="4" width="16.1328125" customWidth="1"/>
    <col min="5" max="6" width="9.06640625" customWidth="1"/>
    <col min="8" max="13" width="9.46484375" bestFit="1" customWidth="1"/>
  </cols>
  <sheetData>
    <row r="1" spans="2:13" ht="46.9" customHeight="1" x14ac:dyDescent="0.45">
      <c r="B1" s="194" t="e" vm="1">
        <v>#VALUE!</v>
      </c>
    </row>
    <row r="2" spans="2:13" ht="18.75" customHeight="1" x14ac:dyDescent="0.65">
      <c r="B2" s="168" t="s">
        <v>60</v>
      </c>
      <c r="C2" s="167"/>
      <c r="D2" s="167"/>
      <c r="E2" s="167"/>
      <c r="F2" s="167"/>
      <c r="G2" s="167"/>
      <c r="H2" s="167"/>
      <c r="I2" s="167"/>
      <c r="J2" s="167"/>
      <c r="K2" s="167"/>
      <c r="L2" s="167"/>
    </row>
    <row r="3" spans="2:13" x14ac:dyDescent="0.45">
      <c r="B3" s="9" t="s">
        <v>85</v>
      </c>
    </row>
    <row r="4" spans="2:13" x14ac:dyDescent="0.45">
      <c r="B4" s="2" t="s">
        <v>61</v>
      </c>
      <c r="C4">
        <v>3</v>
      </c>
      <c r="I4" s="163">
        <v>2015</v>
      </c>
      <c r="J4" s="163">
        <f>I4+1</f>
        <v>2016</v>
      </c>
      <c r="K4" s="163">
        <f>J4+1</f>
        <v>2017</v>
      </c>
      <c r="L4" s="164" t="s">
        <v>10</v>
      </c>
      <c r="M4" s="164"/>
    </row>
    <row r="6" spans="2:13" x14ac:dyDescent="0.45">
      <c r="B6" s="2" t="s">
        <v>12</v>
      </c>
      <c r="I6" s="160" cm="1">
        <f t="array" ref="I6">INDEX(I8:I10,$C$4)</f>
        <v>0.15000000000000002</v>
      </c>
      <c r="J6" s="161" cm="1">
        <f t="array" ref="J6">INDEX(J8:J10,$C$4)</f>
        <v>5.0000000000000031E-2</v>
      </c>
      <c r="K6" s="161" cm="1">
        <f t="array" ref="K6">INDEX(K8:K10,$C$4)</f>
        <v>-4.9999999999999961E-2</v>
      </c>
      <c r="L6" s="162" cm="1">
        <f t="array" ref="L6">INDEX(L8:L10,$C$4)</f>
        <v>-4.9999999999999961E-2</v>
      </c>
      <c r="M6" s="278"/>
    </row>
    <row r="7" spans="2:13" x14ac:dyDescent="0.45">
      <c r="I7" s="1"/>
      <c r="J7" s="1"/>
      <c r="K7" s="1"/>
      <c r="L7" s="1"/>
      <c r="M7" s="278"/>
    </row>
    <row r="8" spans="2:13" x14ac:dyDescent="0.45">
      <c r="B8" s="3" t="s">
        <v>4</v>
      </c>
      <c r="I8" s="1">
        <f>'Growth Factors out of sample'!I19</f>
        <v>0.15</v>
      </c>
      <c r="J8" s="1">
        <f>'Growth Factors out of sample'!J19</f>
        <v>0.25</v>
      </c>
      <c r="K8" s="1">
        <f>'Growth Factors out of sample'!K19</f>
        <v>0.35</v>
      </c>
      <c r="L8" s="1">
        <f>'Growth Factors out of sample'!L19</f>
        <v>0.35</v>
      </c>
      <c r="M8" s="278"/>
    </row>
    <row r="9" spans="2:13" x14ac:dyDescent="0.45">
      <c r="B9" s="3" t="s">
        <v>5</v>
      </c>
      <c r="I9" s="1">
        <f>'Growth Factors out of sample'!I23</f>
        <v>0.15</v>
      </c>
      <c r="J9" s="1">
        <f>'Growth Factors out of sample'!J23</f>
        <v>0.15</v>
      </c>
      <c r="K9" s="1">
        <f>'Growth Factors out of sample'!K23</f>
        <v>0.15</v>
      </c>
      <c r="L9" s="1">
        <f>'Growth Factors out of sample'!L23</f>
        <v>0.15</v>
      </c>
      <c r="M9" s="278"/>
    </row>
    <row r="10" spans="2:13" x14ac:dyDescent="0.45">
      <c r="B10" s="3" t="s">
        <v>6</v>
      </c>
      <c r="I10" s="1">
        <f>'Growth Factors out of sample'!I27</f>
        <v>0.15000000000000002</v>
      </c>
      <c r="J10" s="1">
        <f>'Growth Factors out of sample'!J27</f>
        <v>5.0000000000000031E-2</v>
      </c>
      <c r="K10" s="1">
        <f>'Growth Factors out of sample'!K27</f>
        <v>-4.9999999999999961E-2</v>
      </c>
      <c r="L10" s="1">
        <f>'Growth Factors out of sample'!L27</f>
        <v>-4.9999999999999961E-2</v>
      </c>
      <c r="M10" s="278"/>
    </row>
    <row r="12" spans="2:13" x14ac:dyDescent="0.45">
      <c r="B12" s="2" t="s">
        <v>59</v>
      </c>
      <c r="I12" s="229" cm="1">
        <f t="array" ref="I12">INDEX(I14:I16,$C$4)</f>
        <v>150</v>
      </c>
      <c r="J12" s="230" cm="1">
        <f t="array" ref="J12">INDEX(J14:J16,$C$4)</f>
        <v>150</v>
      </c>
      <c r="K12" s="230" cm="1">
        <f t="array" ref="K12">INDEX(K14:K16,$C$4)</f>
        <v>150</v>
      </c>
      <c r="L12" s="231" cm="1">
        <f t="array" ref="L12">INDEX(L14:L16,$C$4)</f>
        <v>150</v>
      </c>
      <c r="M12" s="279"/>
    </row>
    <row r="13" spans="2:13" x14ac:dyDescent="0.45">
      <c r="I13" s="1"/>
      <c r="J13" s="1"/>
      <c r="K13" s="1"/>
      <c r="L13" s="1"/>
      <c r="M13" s="278"/>
    </row>
    <row r="14" spans="2:13" ht="15" x14ac:dyDescent="0.55000000000000004">
      <c r="B14" s="3" t="s">
        <v>4</v>
      </c>
      <c r="I14" s="106">
        <v>250</v>
      </c>
      <c r="J14" s="106">
        <v>250</v>
      </c>
      <c r="K14" s="106">
        <v>250</v>
      </c>
      <c r="L14" s="106">
        <v>250</v>
      </c>
      <c r="M14" s="106"/>
    </row>
    <row r="15" spans="2:13" ht="15" x14ac:dyDescent="0.55000000000000004">
      <c r="B15" s="3" t="s">
        <v>5</v>
      </c>
      <c r="I15" s="106">
        <f>I14-50</f>
        <v>200</v>
      </c>
      <c r="J15" s="106">
        <f t="shared" ref="J15:L16" si="0">J14-50</f>
        <v>200</v>
      </c>
      <c r="K15" s="106">
        <f t="shared" si="0"/>
        <v>200</v>
      </c>
      <c r="L15" s="106">
        <f t="shared" si="0"/>
        <v>200</v>
      </c>
      <c r="M15" s="106"/>
    </row>
    <row r="16" spans="2:13" ht="15" x14ac:dyDescent="0.55000000000000004">
      <c r="B16" s="3" t="s">
        <v>6</v>
      </c>
      <c r="I16" s="106">
        <f>I15-50</f>
        <v>150</v>
      </c>
      <c r="J16" s="106">
        <f t="shared" si="0"/>
        <v>150</v>
      </c>
      <c r="K16" s="106">
        <f t="shared" si="0"/>
        <v>150</v>
      </c>
      <c r="L16" s="106">
        <f t="shared" si="0"/>
        <v>150</v>
      </c>
      <c r="M16" s="106"/>
    </row>
    <row r="17" spans="2:13" x14ac:dyDescent="0.45">
      <c r="B17" s="3"/>
      <c r="I17" s="193"/>
      <c r="J17" s="193"/>
      <c r="K17" s="193"/>
      <c r="L17" s="193"/>
      <c r="M17" s="193"/>
    </row>
    <row r="18" spans="2:13" ht="15" x14ac:dyDescent="0.55000000000000004">
      <c r="B18" s="2" t="s">
        <v>21</v>
      </c>
      <c r="I18" s="239" cm="1">
        <f t="array" ref="I18">INDEX(I20:I22,$C$4)</f>
        <v>140</v>
      </c>
      <c r="J18" s="240" cm="1">
        <f t="array" ref="J18">INDEX(J20:J22,$C$4)</f>
        <v>189</v>
      </c>
      <c r="K18" s="240" cm="1">
        <f t="array" ref="K18">INDEX(K20:K22,$C$4)</f>
        <v>245.70000000000002</v>
      </c>
      <c r="L18" s="241" cm="1">
        <f t="array" ref="L18">INDEX(L20:L22,$C$4)</f>
        <v>245.70000000000002</v>
      </c>
      <c r="M18" s="106"/>
    </row>
    <row r="19" spans="2:13" x14ac:dyDescent="0.45">
      <c r="I19" s="1"/>
      <c r="J19" s="1"/>
      <c r="K19" s="1"/>
      <c r="L19" s="1"/>
      <c r="M19" s="278"/>
    </row>
    <row r="20" spans="2:13" ht="15" x14ac:dyDescent="0.55000000000000004">
      <c r="B20" s="3" t="s">
        <v>4</v>
      </c>
      <c r="H20" s="256">
        <v>200</v>
      </c>
      <c r="I20" s="255">
        <f>H20*('Growth Factors out of sample'!I33+1)</f>
        <v>280</v>
      </c>
      <c r="J20" s="255">
        <f>I20*('Growth Factors out of sample'!J33+1)</f>
        <v>406</v>
      </c>
      <c r="K20" s="255">
        <f>J20*('Growth Factors out of sample'!K33+1)</f>
        <v>609</v>
      </c>
      <c r="L20" s="255">
        <f>K20</f>
        <v>609</v>
      </c>
      <c r="M20" s="255"/>
    </row>
    <row r="21" spans="2:13" ht="15" x14ac:dyDescent="0.55000000000000004">
      <c r="B21" s="3" t="s">
        <v>5</v>
      </c>
      <c r="H21" s="256">
        <v>150</v>
      </c>
      <c r="I21" s="255">
        <f>H21*('Growth Factors out of sample'!I37+1)</f>
        <v>210</v>
      </c>
      <c r="J21" s="255">
        <f>I21*('Growth Factors out of sample'!J37+1)</f>
        <v>294</v>
      </c>
      <c r="K21" s="255">
        <f>J21*('Growth Factors out of sample'!K37+1)</f>
        <v>411.59999999999997</v>
      </c>
      <c r="L21" s="255">
        <f>K21</f>
        <v>411.59999999999997</v>
      </c>
      <c r="M21" s="255"/>
    </row>
    <row r="22" spans="2:13" ht="15" x14ac:dyDescent="0.55000000000000004">
      <c r="B22" s="3" t="s">
        <v>6</v>
      </c>
      <c r="H22" s="256">
        <v>100</v>
      </c>
      <c r="I22" s="255">
        <f>H22*('Growth Factors out of sample'!I41+1)</f>
        <v>140</v>
      </c>
      <c r="J22" s="255">
        <f>I22*('Growth Factors out of sample'!J41+1)</f>
        <v>189</v>
      </c>
      <c r="K22" s="255">
        <f>J22*('Growth Factors out of sample'!K41+1)</f>
        <v>245.70000000000002</v>
      </c>
      <c r="L22" s="255">
        <f>K22</f>
        <v>245.70000000000002</v>
      </c>
      <c r="M22" s="255"/>
    </row>
    <row r="24" spans="2:13" ht="21" x14ac:dyDescent="0.65">
      <c r="B24" s="198"/>
    </row>
    <row r="26" spans="2:13" ht="15.75" x14ac:dyDescent="0.55000000000000004">
      <c r="B26" s="2"/>
      <c r="D26" s="2"/>
      <c r="F26" s="166"/>
      <c r="H26" s="215"/>
      <c r="I26" s="203"/>
      <c r="J26" s="203"/>
      <c r="K26" s="203"/>
      <c r="L26" s="216"/>
    </row>
    <row r="27" spans="2:13" ht="15" x14ac:dyDescent="0.55000000000000004">
      <c r="F27" s="245"/>
      <c r="H27" s="282"/>
      <c r="I27" s="282"/>
      <c r="J27" s="282"/>
      <c r="K27" s="282"/>
      <c r="L27" s="282"/>
    </row>
    <row r="28" spans="2:13" ht="15.75" x14ac:dyDescent="0.55000000000000004">
      <c r="F28" s="246"/>
      <c r="H28" s="18"/>
      <c r="I28" s="17"/>
      <c r="J28" s="203"/>
      <c r="K28" s="17"/>
      <c r="L28" s="206"/>
    </row>
    <row r="29" spans="2:13" ht="15.75" x14ac:dyDescent="0.55000000000000004">
      <c r="F29" s="246"/>
      <c r="H29" s="18"/>
      <c r="I29" s="203"/>
      <c r="J29" s="203"/>
      <c r="K29" s="203"/>
      <c r="L29" s="206"/>
    </row>
    <row r="30" spans="2:13" ht="15.75" x14ac:dyDescent="0.55000000000000004">
      <c r="F30" s="283"/>
      <c r="H30" s="18"/>
      <c r="I30" s="203"/>
      <c r="J30" s="203"/>
      <c r="K30" s="203"/>
      <c r="L30" s="284"/>
    </row>
    <row r="31" spans="2:13" ht="15.75" x14ac:dyDescent="0.55000000000000004">
      <c r="H31" s="203"/>
      <c r="I31" s="203"/>
      <c r="J31" s="203"/>
      <c r="K31" s="203"/>
      <c r="L31" s="203"/>
    </row>
    <row r="32" spans="2:13" ht="15.75" x14ac:dyDescent="0.55000000000000004">
      <c r="B32" s="215"/>
      <c r="C32" s="203"/>
      <c r="D32" s="203"/>
      <c r="E32" s="285"/>
      <c r="F32" s="285"/>
      <c r="G32" s="201"/>
      <c r="H32" s="203"/>
      <c r="I32" s="203"/>
      <c r="J32" s="203"/>
      <c r="K32" s="203"/>
      <c r="L32" s="203"/>
    </row>
    <row r="33" spans="2:12" ht="15.75" x14ac:dyDescent="0.55000000000000004">
      <c r="B33" s="203"/>
      <c r="C33" s="282"/>
      <c r="D33" s="282"/>
      <c r="E33" s="282"/>
      <c r="F33" s="282"/>
      <c r="G33" s="201"/>
      <c r="H33" s="215"/>
      <c r="I33" s="17"/>
      <c r="J33" s="203"/>
      <c r="K33" s="216"/>
      <c r="L33" s="203"/>
    </row>
    <row r="34" spans="2:12" ht="15.75" x14ac:dyDescent="0.55000000000000004">
      <c r="B34" s="9"/>
      <c r="C34" s="203"/>
      <c r="D34" s="203"/>
      <c r="E34" s="286"/>
      <c r="F34" s="286"/>
      <c r="G34" s="201"/>
      <c r="H34" s="282"/>
      <c r="I34" s="282"/>
      <c r="J34" s="282"/>
      <c r="K34" s="282"/>
      <c r="L34" s="282"/>
    </row>
    <row r="35" spans="2:12" ht="15.75" x14ac:dyDescent="0.55000000000000004">
      <c r="B35" s="18"/>
      <c r="C35" s="17"/>
      <c r="D35" s="207"/>
      <c r="E35" s="284"/>
      <c r="F35" s="224"/>
      <c r="G35" s="84"/>
      <c r="H35" s="17"/>
      <c r="I35" s="17"/>
      <c r="J35" s="17"/>
      <c r="K35" s="286"/>
      <c r="L35" s="286"/>
    </row>
    <row r="36" spans="2:12" ht="15.75" x14ac:dyDescent="0.55000000000000004">
      <c r="B36" s="18"/>
      <c r="C36" s="203"/>
      <c r="D36" s="207"/>
      <c r="E36" s="284"/>
      <c r="F36" s="284"/>
      <c r="G36" s="84"/>
      <c r="H36" s="18"/>
      <c r="I36" s="203"/>
      <c r="J36" s="84"/>
      <c r="K36" s="284"/>
      <c r="L36" s="287"/>
    </row>
    <row r="37" spans="2:12" ht="15.75" x14ac:dyDescent="0.55000000000000004">
      <c r="B37" s="18"/>
      <c r="C37" s="203"/>
      <c r="D37" s="211"/>
      <c r="E37" s="287"/>
      <c r="F37" s="287"/>
      <c r="G37" s="84"/>
      <c r="H37" s="18"/>
      <c r="I37" s="203"/>
      <c r="J37" s="84"/>
      <c r="K37" s="284"/>
      <c r="L37" s="287"/>
    </row>
    <row r="38" spans="2:12" ht="15.75" x14ac:dyDescent="0.55000000000000004">
      <c r="B38" s="203"/>
      <c r="C38" s="203"/>
      <c r="D38" s="203"/>
      <c r="E38" s="203"/>
      <c r="F38" s="10"/>
      <c r="G38" s="201"/>
      <c r="H38" s="203"/>
      <c r="I38" s="203"/>
      <c r="J38" s="203"/>
      <c r="K38" s="203"/>
      <c r="L38" s="203"/>
    </row>
    <row r="39" spans="2:12" ht="15.75" x14ac:dyDescent="0.55000000000000004">
      <c r="B39" s="212"/>
      <c r="C39" s="213"/>
      <c r="D39" s="213"/>
      <c r="E39" s="288"/>
      <c r="F39" s="288"/>
      <c r="G39" s="84"/>
      <c r="H39" s="17"/>
      <c r="I39" s="17"/>
      <c r="J39" s="17"/>
      <c r="K39" s="17"/>
      <c r="L39" s="17"/>
    </row>
    <row r="40" spans="2:12" ht="15.75" x14ac:dyDescent="0.55000000000000004">
      <c r="B40" s="215"/>
      <c r="C40" s="203"/>
      <c r="D40" s="203"/>
      <c r="E40" s="203"/>
      <c r="F40" s="203"/>
      <c r="G40" s="216"/>
      <c r="H40" s="18"/>
      <c r="I40" s="203"/>
      <c r="J40" s="203"/>
      <c r="K40" s="17"/>
      <c r="L40" s="284"/>
    </row>
    <row r="41" spans="2:12" ht="15.75" x14ac:dyDescent="0.55000000000000004">
      <c r="B41" s="37"/>
      <c r="C41" s="203"/>
      <c r="D41" s="203"/>
      <c r="E41" s="203"/>
      <c r="F41" s="203"/>
      <c r="G41" s="216"/>
    </row>
    <row r="42" spans="2:12" ht="15.75" x14ac:dyDescent="0.55000000000000004">
      <c r="B42" s="217"/>
      <c r="C42" s="17"/>
      <c r="D42" s="218"/>
      <c r="E42" s="218"/>
      <c r="F42" s="218"/>
      <c r="G42" s="203"/>
    </row>
    <row r="43" spans="2:12" ht="15.75" x14ac:dyDescent="0.55000000000000004">
      <c r="B43" s="219"/>
      <c r="C43" s="17"/>
      <c r="D43" s="218"/>
      <c r="E43" s="218"/>
      <c r="F43" s="218"/>
      <c r="G43" s="203"/>
    </row>
    <row r="44" spans="2:12" ht="15.75" x14ac:dyDescent="0.55000000000000004">
      <c r="B44" s="220"/>
      <c r="C44" s="203"/>
      <c r="D44" s="203"/>
      <c r="E44" s="203"/>
      <c r="F44" s="203"/>
      <c r="G44" s="203"/>
    </row>
    <row r="45" spans="2:12" ht="15.75" x14ac:dyDescent="0.55000000000000004">
      <c r="B45" s="221"/>
      <c r="C45" s="203"/>
      <c r="D45" s="203"/>
      <c r="E45" s="203"/>
      <c r="F45" s="203"/>
      <c r="G45" s="203"/>
    </row>
    <row r="46" spans="2:12" ht="15.75" x14ac:dyDescent="0.55000000000000004">
      <c r="B46" s="19"/>
      <c r="C46" s="17"/>
      <c r="D46" s="17"/>
      <c r="E46" s="17"/>
      <c r="F46" s="17"/>
      <c r="G46" s="17"/>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2</xdr:col>
                    <xdr:colOff>0</xdr:colOff>
                    <xdr:row>3</xdr:row>
                    <xdr:rowOff>0</xdr:rowOff>
                  </from>
                  <to>
                    <xdr:col>3</xdr:col>
                    <xdr:colOff>0</xdr:colOff>
                    <xdr:row>4</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5B64-0CE1-4109-8B91-1E76FB5C2D9B}">
  <dimension ref="B1:S111"/>
  <sheetViews>
    <sheetView showGridLines="0" topLeftCell="D49" zoomScale="79" zoomScaleNormal="85" workbookViewId="0">
      <selection activeCell="N62" sqref="N62"/>
    </sheetView>
  </sheetViews>
  <sheetFormatPr defaultRowHeight="14.25" x14ac:dyDescent="0.45"/>
  <cols>
    <col min="2" max="2" width="19.796875" customWidth="1"/>
    <col min="3" max="3" width="9.265625" bestFit="1" customWidth="1"/>
    <col min="4" max="6" width="10.73046875" customWidth="1"/>
    <col min="7" max="8" width="11.53125" customWidth="1"/>
    <col min="11" max="11" width="13" customWidth="1"/>
    <col min="12" max="14" width="10.6640625" customWidth="1"/>
    <col min="15" max="15" width="12.1328125" customWidth="1"/>
    <col min="16" max="16" width="10.6640625" customWidth="1"/>
  </cols>
  <sheetData>
    <row r="1" spans="2:19" ht="46.9" customHeight="1" x14ac:dyDescent="0.45">
      <c r="B1" s="194" t="e" vm="1">
        <f>Inputs!B1</f>
        <v>#VALUE!</v>
      </c>
    </row>
    <row r="2" spans="2:19" ht="20.65" x14ac:dyDescent="0.55000000000000004">
      <c r="B2" s="5" t="s">
        <v>8</v>
      </c>
      <c r="C2" s="128"/>
      <c r="D2" s="129"/>
      <c r="E2" s="129"/>
      <c r="F2" s="130"/>
      <c r="G2" s="130"/>
      <c r="H2" s="130"/>
      <c r="I2" s="130"/>
      <c r="J2" s="130"/>
      <c r="K2" s="130"/>
      <c r="L2" s="130"/>
      <c r="M2" s="130"/>
      <c r="N2" s="130"/>
      <c r="O2" s="130"/>
      <c r="P2" s="6"/>
    </row>
    <row r="3" spans="2:19" ht="20.65" x14ac:dyDescent="0.55000000000000004">
      <c r="B3" s="7"/>
      <c r="C3" s="131"/>
      <c r="D3" s="132"/>
      <c r="E3" s="132"/>
      <c r="F3" s="133"/>
      <c r="G3" s="133"/>
      <c r="H3" s="133"/>
      <c r="I3" s="133"/>
      <c r="J3" s="133"/>
      <c r="K3" s="133"/>
      <c r="L3" s="133"/>
      <c r="M3" s="133"/>
      <c r="N3" s="133"/>
      <c r="O3" s="133"/>
      <c r="P3" s="8"/>
    </row>
    <row r="4" spans="2:19" ht="21" thickBot="1" x14ac:dyDescent="0.6">
      <c r="B4" s="9" t="s">
        <v>85</v>
      </c>
      <c r="C4" s="131"/>
      <c r="D4" s="10"/>
      <c r="E4" s="10"/>
      <c r="F4" s="133"/>
      <c r="G4" s="134"/>
      <c r="H4" s="257"/>
      <c r="I4" s="257"/>
      <c r="J4" s="257"/>
      <c r="K4" s="267">
        <v>2013</v>
      </c>
      <c r="L4" s="267">
        <f>K4+1</f>
        <v>2014</v>
      </c>
      <c r="M4" s="12">
        <f>L4+1</f>
        <v>2015</v>
      </c>
      <c r="N4" s="12">
        <f>M4+1</f>
        <v>2016</v>
      </c>
      <c r="O4" s="12">
        <f>N4+1</f>
        <v>2017</v>
      </c>
      <c r="P4" s="12" t="s">
        <v>10</v>
      </c>
    </row>
    <row r="5" spans="2:19" ht="20.65" x14ac:dyDescent="0.55000000000000004">
      <c r="B5" s="9"/>
      <c r="C5" s="131"/>
      <c r="D5" s="10"/>
      <c r="E5" s="10"/>
      <c r="F5" s="133"/>
      <c r="G5" s="134"/>
      <c r="H5" s="10"/>
      <c r="I5" s="10"/>
      <c r="J5" s="10"/>
      <c r="K5" s="134"/>
      <c r="L5" s="134"/>
      <c r="M5" s="134"/>
      <c r="N5" s="134"/>
      <c r="O5" s="134"/>
      <c r="P5" s="134"/>
    </row>
    <row r="6" spans="2:19" ht="20.65" x14ac:dyDescent="0.55000000000000004">
      <c r="B6" s="9"/>
      <c r="C6" s="131"/>
      <c r="D6" s="10"/>
      <c r="E6" s="10"/>
      <c r="F6" s="133"/>
      <c r="G6" s="134"/>
      <c r="H6" s="10"/>
      <c r="I6" s="10"/>
      <c r="J6" s="10"/>
      <c r="K6" s="134"/>
      <c r="L6" s="134"/>
      <c r="M6" s="134"/>
      <c r="N6" s="134"/>
      <c r="O6" s="134"/>
      <c r="P6" s="134"/>
    </row>
    <row r="7" spans="2:19" ht="20.65" x14ac:dyDescent="0.55000000000000004">
      <c r="B7" s="134"/>
      <c r="C7" s="13" t="s">
        <v>11</v>
      </c>
      <c r="D7" s="14"/>
      <c r="E7" s="10"/>
      <c r="F7" s="133"/>
      <c r="G7" s="134"/>
      <c r="H7" s="134"/>
      <c r="I7" s="10"/>
      <c r="J7" s="10"/>
      <c r="K7" s="134"/>
      <c r="L7" s="134"/>
      <c r="M7" s="134"/>
      <c r="N7" s="134"/>
      <c r="O7" s="134"/>
      <c r="P7" s="134"/>
    </row>
    <row r="8" spans="2:19" ht="20.65" x14ac:dyDescent="0.55000000000000004">
      <c r="B8" s="134"/>
      <c r="C8" s="13"/>
      <c r="D8" s="14"/>
      <c r="E8" s="10"/>
      <c r="F8" s="133"/>
      <c r="G8" s="134"/>
      <c r="H8" s="134"/>
      <c r="I8" s="10"/>
      <c r="J8" s="10"/>
      <c r="K8" s="134"/>
      <c r="L8" s="134"/>
      <c r="M8" s="134"/>
      <c r="N8" s="134"/>
      <c r="O8" s="134"/>
      <c r="P8" s="134"/>
    </row>
    <row r="9" spans="2:19" ht="20.65" x14ac:dyDescent="0.55000000000000004">
      <c r="B9" s="134"/>
      <c r="C9" s="18" t="s">
        <v>12</v>
      </c>
      <c r="D9" s="14"/>
      <c r="E9" s="10"/>
      <c r="F9" s="133"/>
      <c r="G9" s="134"/>
      <c r="H9" s="10"/>
      <c r="I9" s="10"/>
      <c r="J9" s="10"/>
      <c r="K9" s="134"/>
      <c r="L9" s="16">
        <f>L10/K10-1</f>
        <v>-0.15331807780320361</v>
      </c>
      <c r="M9" s="16">
        <f>'Inputs out of sample'!I6</f>
        <v>0.15000000000000002</v>
      </c>
      <c r="N9" s="16">
        <f>'Inputs out of sample'!J6</f>
        <v>5.0000000000000031E-2</v>
      </c>
      <c r="O9" s="16">
        <f>'Inputs out of sample'!K6</f>
        <v>-4.9999999999999961E-2</v>
      </c>
      <c r="P9" s="165">
        <f>O9</f>
        <v>-4.9999999999999961E-2</v>
      </c>
      <c r="Q9" s="266"/>
      <c r="R9" s="266"/>
      <c r="S9" s="266"/>
    </row>
    <row r="10" spans="2:19" ht="16.899999999999999" customHeight="1" x14ac:dyDescent="0.55000000000000004">
      <c r="B10" s="17"/>
      <c r="C10" s="18" t="s">
        <v>13</v>
      </c>
      <c r="D10" s="19"/>
      <c r="E10" s="19"/>
      <c r="F10" s="133"/>
      <c r="G10" s="17"/>
      <c r="H10" s="20"/>
      <c r="I10" s="20"/>
      <c r="J10" s="20"/>
      <c r="K10" s="268">
        <v>874</v>
      </c>
      <c r="L10" s="268">
        <v>740</v>
      </c>
      <c r="M10" s="280">
        <f>L10*(1+M9)</f>
        <v>850.99999999999989</v>
      </c>
      <c r="N10" s="280">
        <f t="shared" ref="N10:O10" si="0">M10*(1+N9)</f>
        <v>893.55</v>
      </c>
      <c r="O10" s="280">
        <f t="shared" si="0"/>
        <v>848.87250000000006</v>
      </c>
      <c r="P10" s="280">
        <f>O10</f>
        <v>848.87250000000006</v>
      </c>
    </row>
    <row r="11" spans="2:19" ht="15.75" x14ac:dyDescent="0.55000000000000004">
      <c r="B11" s="17"/>
      <c r="C11" s="22"/>
      <c r="D11" s="19"/>
      <c r="E11" s="19"/>
      <c r="F11" s="133"/>
      <c r="G11" s="17"/>
      <c r="H11" s="136"/>
      <c r="I11" s="136"/>
      <c r="J11" s="136"/>
      <c r="K11" s="23"/>
      <c r="L11" s="23"/>
      <c r="M11" s="23"/>
      <c r="N11" s="23"/>
      <c r="O11" s="23"/>
      <c r="P11" s="24"/>
    </row>
    <row r="12" spans="2:19" ht="15.75" x14ac:dyDescent="0.55000000000000004">
      <c r="B12" s="17"/>
      <c r="C12" s="18" t="s">
        <v>14</v>
      </c>
      <c r="D12" s="17"/>
      <c r="E12" s="19"/>
      <c r="F12" s="133"/>
      <c r="G12" s="17"/>
      <c r="H12" s="258"/>
      <c r="I12" s="258"/>
      <c r="J12" s="258"/>
      <c r="K12" s="232">
        <f>K10-K13</f>
        <v>226</v>
      </c>
      <c r="L12" s="232">
        <f t="shared" ref="L12" si="1">L10-L13</f>
        <v>244</v>
      </c>
      <c r="M12" s="232">
        <f>'Inputs out of sample'!I12</f>
        <v>150</v>
      </c>
      <c r="N12" s="232">
        <f>'Inputs out of sample'!J12</f>
        <v>150</v>
      </c>
      <c r="O12" s="232">
        <f>'Inputs out of sample'!K12</f>
        <v>150</v>
      </c>
      <c r="P12" s="233">
        <f>O12</f>
        <v>150</v>
      </c>
    </row>
    <row r="13" spans="2:19" ht="15.75" x14ac:dyDescent="0.55000000000000004">
      <c r="B13" s="17"/>
      <c r="C13" s="18" t="s">
        <v>15</v>
      </c>
      <c r="D13" s="17"/>
      <c r="E13" s="19"/>
      <c r="F13" s="133"/>
      <c r="G13" s="17"/>
      <c r="H13" s="20"/>
      <c r="I13" s="20"/>
      <c r="J13" s="20"/>
      <c r="K13" s="269">
        <v>648</v>
      </c>
      <c r="L13" s="269">
        <v>496</v>
      </c>
      <c r="M13" s="281">
        <f>M10-M12</f>
        <v>700.99999999999989</v>
      </c>
      <c r="N13" s="281">
        <f t="shared" ref="N13:O13" si="2">N10-N12</f>
        <v>743.55</v>
      </c>
      <c r="O13" s="281">
        <f t="shared" si="2"/>
        <v>698.87250000000006</v>
      </c>
      <c r="P13" s="281">
        <f>O13</f>
        <v>698.87250000000006</v>
      </c>
    </row>
    <row r="14" spans="2:19" ht="15.75" x14ac:dyDescent="0.55000000000000004">
      <c r="B14" s="17"/>
      <c r="C14" s="22"/>
      <c r="D14" s="17"/>
      <c r="E14" s="19"/>
      <c r="F14" s="133"/>
      <c r="G14" s="17"/>
      <c r="H14" s="23"/>
      <c r="I14" s="23"/>
      <c r="J14" s="23"/>
      <c r="K14" s="23"/>
      <c r="L14" s="23"/>
      <c r="M14" s="23"/>
      <c r="N14" s="23"/>
      <c r="O14" s="23"/>
      <c r="P14" s="24"/>
    </row>
    <row r="15" spans="2:19" ht="15.75" x14ac:dyDescent="0.55000000000000004">
      <c r="B15" s="17"/>
      <c r="C15" s="18" t="s">
        <v>16</v>
      </c>
      <c r="D15" s="17"/>
      <c r="E15" s="19"/>
      <c r="F15" s="133"/>
      <c r="G15" s="17"/>
      <c r="H15" s="259"/>
      <c r="I15" s="259"/>
      <c r="J15" s="259"/>
      <c r="K15" s="27">
        <v>0.104</v>
      </c>
      <c r="L15" s="27">
        <v>0.04</v>
      </c>
      <c r="M15" s="27">
        <v>0.14699999999999999</v>
      </c>
      <c r="N15" s="27">
        <v>0.17199999999999999</v>
      </c>
      <c r="O15" s="27">
        <v>0.23799999999999999</v>
      </c>
      <c r="P15" s="28">
        <f>O15</f>
        <v>0.23799999999999999</v>
      </c>
    </row>
    <row r="16" spans="2:19" ht="15.75" x14ac:dyDescent="0.55000000000000004">
      <c r="B16" s="17"/>
      <c r="C16" s="18" t="s">
        <v>17</v>
      </c>
      <c r="D16" s="29"/>
      <c r="E16" s="19"/>
      <c r="F16" s="17"/>
      <c r="G16" s="17"/>
      <c r="H16" s="20"/>
      <c r="I16" s="20"/>
      <c r="J16" s="20"/>
      <c r="K16" s="270">
        <f t="shared" ref="K16:P16" si="3">K13*K15</f>
        <v>67.391999999999996</v>
      </c>
      <c r="L16" s="270">
        <f t="shared" si="3"/>
        <v>19.84</v>
      </c>
      <c r="M16" s="21">
        <f t="shared" si="3"/>
        <v>103.04699999999998</v>
      </c>
      <c r="N16" s="21">
        <f t="shared" si="3"/>
        <v>127.89059999999998</v>
      </c>
      <c r="O16" s="21">
        <f t="shared" si="3"/>
        <v>166.33165500000001</v>
      </c>
      <c r="P16" s="21">
        <f t="shared" si="3"/>
        <v>166.33165500000001</v>
      </c>
    </row>
    <row r="17" spans="2:16" ht="15.75" x14ac:dyDescent="0.55000000000000004">
      <c r="B17" s="17"/>
      <c r="C17" s="30"/>
      <c r="D17" s="29"/>
      <c r="E17" s="19"/>
      <c r="F17" s="31"/>
      <c r="G17" s="31"/>
      <c r="H17" s="31"/>
      <c r="I17" s="31"/>
      <c r="J17" s="31"/>
      <c r="K17" s="31"/>
      <c r="L17" s="31"/>
      <c r="M17" s="31"/>
      <c r="N17" s="31"/>
      <c r="O17" s="31"/>
      <c r="P17" s="32"/>
    </row>
    <row r="18" spans="2:16" ht="15.75" x14ac:dyDescent="0.55000000000000004">
      <c r="B18" s="17"/>
      <c r="C18" s="33"/>
      <c r="D18" s="34"/>
      <c r="E18" s="35"/>
      <c r="F18" s="36"/>
      <c r="G18" s="36"/>
      <c r="H18" s="36"/>
      <c r="I18" s="36"/>
      <c r="J18" s="36"/>
      <c r="K18" s="36"/>
      <c r="L18" s="36"/>
      <c r="M18" s="36"/>
      <c r="N18" s="36"/>
      <c r="O18" s="36"/>
      <c r="P18" s="36"/>
    </row>
    <row r="19" spans="2:16" ht="15.75" x14ac:dyDescent="0.55000000000000004">
      <c r="B19" s="17"/>
      <c r="C19" s="37"/>
      <c r="D19" s="38"/>
      <c r="E19" s="19"/>
      <c r="F19" s="39"/>
      <c r="G19" s="39"/>
      <c r="H19" s="39"/>
      <c r="I19" s="39"/>
      <c r="J19" s="39"/>
      <c r="K19" s="39"/>
      <c r="L19" s="39"/>
      <c r="M19" s="39"/>
      <c r="N19" s="39"/>
      <c r="O19" s="39"/>
      <c r="P19" s="39"/>
    </row>
    <row r="20" spans="2:16" ht="15.75" x14ac:dyDescent="0.55000000000000004">
      <c r="B20" s="17"/>
      <c r="C20" s="37"/>
      <c r="D20" s="38"/>
      <c r="E20" s="19"/>
      <c r="F20" s="39"/>
      <c r="G20" s="39"/>
      <c r="H20" s="39"/>
      <c r="I20" s="39"/>
      <c r="J20" s="39"/>
      <c r="K20" s="39"/>
      <c r="L20" s="39"/>
      <c r="M20" s="39"/>
      <c r="N20" s="39"/>
      <c r="O20" s="39"/>
      <c r="P20" s="39"/>
    </row>
    <row r="21" spans="2:16" ht="20.65" x14ac:dyDescent="0.55000000000000004">
      <c r="B21" s="134"/>
      <c r="C21" s="13" t="s">
        <v>18</v>
      </c>
      <c r="D21" s="14"/>
      <c r="E21" s="10"/>
      <c r="F21" s="39"/>
      <c r="G21" s="10"/>
      <c r="H21" s="39"/>
      <c r="I21" s="39"/>
      <c r="J21" s="39"/>
      <c r="K21" s="39"/>
      <c r="L21" s="39"/>
      <c r="M21" s="39"/>
      <c r="N21" s="39"/>
      <c r="O21" s="39"/>
      <c r="P21" s="39"/>
    </row>
    <row r="22" spans="2:16" ht="20.65" x14ac:dyDescent="0.55000000000000004">
      <c r="B22" s="134"/>
      <c r="C22" s="13"/>
      <c r="D22" s="14"/>
      <c r="E22" s="10"/>
      <c r="F22" s="39"/>
      <c r="G22" s="10"/>
      <c r="H22" s="10"/>
      <c r="I22" s="10"/>
      <c r="J22" s="10"/>
      <c r="K22" s="39"/>
      <c r="L22" s="39"/>
      <c r="M22" s="39"/>
      <c r="N22" s="39"/>
      <c r="O22" s="39"/>
      <c r="P22" s="39"/>
    </row>
    <row r="23" spans="2:16" ht="20.65" x14ac:dyDescent="0.55000000000000004">
      <c r="B23" s="134"/>
      <c r="C23" s="15" t="s">
        <v>13</v>
      </c>
      <c r="D23" s="40"/>
      <c r="E23" s="10"/>
      <c r="F23" s="39"/>
      <c r="G23" s="10"/>
      <c r="H23" s="10"/>
      <c r="I23" s="10"/>
      <c r="J23" s="10"/>
      <c r="K23" s="106"/>
      <c r="L23" s="106"/>
      <c r="M23" s="41">
        <f t="shared" ref="M23:P23" si="4">M10</f>
        <v>850.99999999999989</v>
      </c>
      <c r="N23" s="41">
        <f t="shared" si="4"/>
        <v>893.55</v>
      </c>
      <c r="O23" s="41">
        <f t="shared" si="4"/>
        <v>848.87250000000006</v>
      </c>
      <c r="P23" s="41">
        <f t="shared" si="4"/>
        <v>848.87250000000006</v>
      </c>
    </row>
    <row r="24" spans="2:16" ht="20.65" x14ac:dyDescent="0.55000000000000004">
      <c r="B24" s="134"/>
      <c r="C24" s="15" t="s">
        <v>19</v>
      </c>
      <c r="D24" s="40"/>
      <c r="E24" s="10"/>
      <c r="F24" s="39"/>
      <c r="G24" s="10"/>
      <c r="H24" s="10"/>
      <c r="I24" s="10"/>
      <c r="J24" s="10"/>
      <c r="K24" s="106"/>
      <c r="L24" s="106"/>
      <c r="M24" s="41">
        <f>M16</f>
        <v>103.04699999999998</v>
      </c>
      <c r="N24" s="41">
        <f t="shared" ref="N24:P24" si="5">N16</f>
        <v>127.89059999999998</v>
      </c>
      <c r="O24" s="41">
        <f t="shared" si="5"/>
        <v>166.33165500000001</v>
      </c>
      <c r="P24" s="42">
        <f t="shared" si="5"/>
        <v>166.33165500000001</v>
      </c>
    </row>
    <row r="25" spans="2:16" ht="20.65" x14ac:dyDescent="0.55000000000000004">
      <c r="B25" s="134"/>
      <c r="C25" s="15" t="s">
        <v>20</v>
      </c>
      <c r="D25" s="40"/>
      <c r="E25" s="10"/>
      <c r="F25" s="39"/>
      <c r="G25" s="10"/>
      <c r="H25" s="10"/>
      <c r="I25" s="10"/>
      <c r="J25" s="10"/>
      <c r="K25" s="106"/>
      <c r="L25" s="106"/>
      <c r="M25" s="41">
        <f t="shared" ref="M25:P25" si="6">-M12</f>
        <v>-150</v>
      </c>
      <c r="N25" s="41">
        <f t="shared" si="6"/>
        <v>-150</v>
      </c>
      <c r="O25" s="41">
        <f t="shared" si="6"/>
        <v>-150</v>
      </c>
      <c r="P25" s="41">
        <f t="shared" si="6"/>
        <v>-150</v>
      </c>
    </row>
    <row r="26" spans="2:16" ht="20.65" x14ac:dyDescent="0.55000000000000004">
      <c r="B26" s="134"/>
      <c r="C26" s="15" t="s">
        <v>21</v>
      </c>
      <c r="D26" s="134"/>
      <c r="E26" s="10"/>
      <c r="F26" s="39"/>
      <c r="G26" s="10"/>
      <c r="H26" s="10"/>
      <c r="I26" s="10"/>
      <c r="J26" s="10"/>
      <c r="K26" s="262"/>
      <c r="L26" s="262"/>
      <c r="M26" s="262">
        <f>-'Inputs out of sample'!I18</f>
        <v>-140</v>
      </c>
      <c r="N26" s="262">
        <f>-'Inputs out of sample'!J18</f>
        <v>-189</v>
      </c>
      <c r="O26" s="262">
        <f>-'Inputs out of sample'!K18</f>
        <v>-245.70000000000002</v>
      </c>
      <c r="P26" s="263">
        <f>O26</f>
        <v>-245.70000000000002</v>
      </c>
    </row>
    <row r="27" spans="2:16" ht="16.149999999999999" thickBot="1" x14ac:dyDescent="0.6">
      <c r="B27" s="45"/>
      <c r="C27" s="15" t="s">
        <v>22</v>
      </c>
      <c r="D27" s="40"/>
      <c r="E27" s="10"/>
      <c r="F27" s="39"/>
      <c r="G27" s="10"/>
      <c r="H27" s="10"/>
      <c r="I27" s="10"/>
      <c r="J27" s="10"/>
      <c r="K27" s="271"/>
      <c r="L27" s="271"/>
      <c r="M27" s="44">
        <f t="shared" ref="M27:P27" si="7">SUM(M23:M26)</f>
        <v>664.04699999999991</v>
      </c>
      <c r="N27" s="44">
        <f t="shared" si="7"/>
        <v>682.4405999999999</v>
      </c>
      <c r="O27" s="44">
        <f t="shared" si="7"/>
        <v>619.50415500000008</v>
      </c>
      <c r="P27" s="44">
        <f t="shared" si="7"/>
        <v>619.50415500000008</v>
      </c>
    </row>
    <row r="28" spans="2:16" ht="15.75" x14ac:dyDescent="0.55000000000000004">
      <c r="B28" s="45"/>
      <c r="C28" s="45"/>
      <c r="D28" s="127"/>
      <c r="E28" s="45"/>
      <c r="F28" s="39"/>
      <c r="G28" s="45"/>
      <c r="H28" s="45"/>
      <c r="I28" s="45"/>
      <c r="J28" s="45"/>
      <c r="K28" s="45"/>
      <c r="L28" s="45"/>
      <c r="M28" s="45"/>
      <c r="N28" s="45"/>
      <c r="O28" s="45"/>
      <c r="P28" s="45"/>
    </row>
    <row r="29" spans="2:16" ht="15.75" x14ac:dyDescent="0.55000000000000004">
      <c r="B29" s="45"/>
      <c r="C29" s="45"/>
      <c r="D29" s="127"/>
      <c r="E29" s="45"/>
      <c r="F29" s="45"/>
      <c r="G29" s="45"/>
      <c r="H29" s="45"/>
      <c r="I29" s="45"/>
      <c r="J29" s="45"/>
      <c r="K29" s="137"/>
      <c r="L29" s="137"/>
      <c r="M29" s="137"/>
      <c r="N29" s="137"/>
      <c r="O29" s="137"/>
      <c r="P29" s="137"/>
    </row>
    <row r="30" spans="2:16" ht="15.75" x14ac:dyDescent="0.55000000000000004">
      <c r="B30" s="45"/>
      <c r="C30" s="45"/>
      <c r="D30" s="127"/>
      <c r="E30" s="45"/>
      <c r="F30" s="45"/>
      <c r="G30" s="45"/>
      <c r="H30" s="45"/>
      <c r="I30" s="45"/>
      <c r="J30" s="45"/>
      <c r="K30" s="137"/>
      <c r="L30" s="137"/>
      <c r="M30" s="137"/>
      <c r="N30" s="137"/>
      <c r="O30" s="137"/>
      <c r="P30" s="137"/>
    </row>
    <row r="31" spans="2:16" ht="20.65" x14ac:dyDescent="0.55000000000000004">
      <c r="B31" s="134"/>
      <c r="C31" s="131"/>
      <c r="D31" s="40"/>
      <c r="E31" s="10"/>
      <c r="F31" s="10"/>
      <c r="G31" s="10"/>
      <c r="H31" s="10"/>
      <c r="I31" s="10"/>
      <c r="J31" s="10"/>
      <c r="K31" s="46"/>
      <c r="L31" s="46"/>
      <c r="M31" s="46"/>
      <c r="N31" s="46"/>
      <c r="O31" s="134"/>
      <c r="P31" s="47" t="s">
        <v>23</v>
      </c>
    </row>
    <row r="32" spans="2:16" ht="15.75" x14ac:dyDescent="0.55000000000000004">
      <c r="B32" s="45"/>
      <c r="C32" s="45"/>
      <c r="D32" s="127"/>
      <c r="E32" s="45"/>
      <c r="F32" s="45"/>
      <c r="G32" s="45"/>
      <c r="H32" s="45"/>
      <c r="I32" s="45"/>
      <c r="J32" s="45"/>
      <c r="K32" s="45"/>
      <c r="L32" s="45"/>
      <c r="M32" s="45"/>
      <c r="N32" s="45"/>
      <c r="O32" s="45"/>
      <c r="P32" s="45"/>
    </row>
    <row r="33" spans="2:16" ht="15" x14ac:dyDescent="0.55000000000000004">
      <c r="B33" s="48"/>
      <c r="C33" s="33"/>
      <c r="D33" s="34"/>
      <c r="E33" s="35"/>
      <c r="F33" s="49"/>
      <c r="G33" s="49"/>
      <c r="H33" s="49"/>
      <c r="I33" s="49"/>
      <c r="J33" s="49"/>
      <c r="K33" s="49"/>
      <c r="L33" s="49"/>
      <c r="M33" s="49"/>
      <c r="N33" s="49"/>
      <c r="O33" s="49"/>
      <c r="P33" s="49"/>
    </row>
    <row r="34" spans="2:16" ht="15" x14ac:dyDescent="0.55000000000000004">
      <c r="B34" s="9"/>
      <c r="C34" s="131"/>
      <c r="D34" s="40"/>
      <c r="E34" s="10"/>
      <c r="F34" s="10"/>
      <c r="G34" s="10"/>
      <c r="H34" s="10"/>
      <c r="I34" s="10"/>
      <c r="J34" s="10"/>
      <c r="K34" s="46"/>
      <c r="L34" s="46"/>
      <c r="M34" s="46"/>
      <c r="N34" s="46"/>
      <c r="O34" s="46"/>
      <c r="P34" s="46"/>
    </row>
    <row r="35" spans="2:16" ht="20.65" x14ac:dyDescent="0.55000000000000004">
      <c r="B35" s="5" t="s">
        <v>24</v>
      </c>
      <c r="C35" s="128"/>
      <c r="D35" s="138"/>
      <c r="E35" s="139"/>
      <c r="F35" s="130"/>
      <c r="G35" s="130"/>
      <c r="H35" s="130"/>
      <c r="I35" s="130"/>
      <c r="J35" s="130"/>
      <c r="K35" s="50"/>
      <c r="L35" s="51"/>
      <c r="M35" s="51"/>
      <c r="N35" s="51"/>
      <c r="O35" s="51"/>
      <c r="P35" s="6"/>
    </row>
    <row r="36" spans="2:16" ht="20.65" x14ac:dyDescent="0.55000000000000004">
      <c r="B36" s="52"/>
      <c r="C36" s="131"/>
      <c r="D36" s="140"/>
      <c r="E36" s="132"/>
      <c r="F36" s="133"/>
      <c r="G36" s="133"/>
      <c r="H36" s="133"/>
      <c r="I36" s="133"/>
      <c r="J36" s="133"/>
      <c r="K36" s="133"/>
      <c r="L36" s="133"/>
      <c r="M36" s="133"/>
      <c r="N36" s="133"/>
      <c r="O36" s="133"/>
      <c r="P36" s="133"/>
    </row>
    <row r="37" spans="2:16" ht="20.65" x14ac:dyDescent="0.55000000000000004">
      <c r="B37" s="9" t="s">
        <v>9</v>
      </c>
      <c r="C37" s="131"/>
      <c r="D37" s="140"/>
      <c r="E37" s="132"/>
      <c r="F37" s="133"/>
      <c r="G37" s="133"/>
      <c r="H37" s="134"/>
      <c r="I37" s="53"/>
      <c r="L37" s="54" t="s">
        <v>25</v>
      </c>
      <c r="M37" s="55" t="s">
        <v>26</v>
      </c>
      <c r="N37" s="56"/>
      <c r="O37" s="56"/>
      <c r="P37" s="57" t="s">
        <v>10</v>
      </c>
    </row>
    <row r="38" spans="2:16" ht="20.65" x14ac:dyDescent="0.55000000000000004">
      <c r="B38" s="9"/>
      <c r="C38" s="134"/>
      <c r="D38" s="141"/>
      <c r="E38" s="10"/>
      <c r="F38" s="134"/>
      <c r="G38" s="134"/>
      <c r="H38" s="134"/>
      <c r="I38" s="58"/>
      <c r="L38" s="59" t="s">
        <v>27</v>
      </c>
      <c r="M38" s="59" t="s">
        <v>27</v>
      </c>
      <c r="N38" s="60" t="s">
        <v>27</v>
      </c>
      <c r="O38" s="60" t="s">
        <v>27</v>
      </c>
      <c r="P38" s="61" t="s">
        <v>27</v>
      </c>
    </row>
    <row r="39" spans="2:16" ht="21" thickBot="1" x14ac:dyDescent="0.6">
      <c r="B39" s="9"/>
      <c r="C39" s="134"/>
      <c r="D39" s="141"/>
      <c r="E39" s="10"/>
      <c r="F39" s="134"/>
      <c r="G39" s="134"/>
      <c r="H39" s="134"/>
      <c r="I39" s="62"/>
      <c r="L39" s="63">
        <f>DATE(G47,1,1)</f>
        <v>41275</v>
      </c>
      <c r="M39" s="63">
        <f>DATE(G47,12,31)</f>
        <v>41639</v>
      </c>
      <c r="N39" s="64">
        <f>EDATE(M39,12)</f>
        <v>42004</v>
      </c>
      <c r="O39" s="64">
        <f t="shared" ref="O39:P39" si="8">EDATE(N39,12)</f>
        <v>42369</v>
      </c>
      <c r="P39" s="64">
        <f t="shared" si="8"/>
        <v>42735</v>
      </c>
    </row>
    <row r="40" spans="2:16" ht="20.65" x14ac:dyDescent="0.55000000000000004">
      <c r="B40" s="52"/>
      <c r="C40" s="131"/>
      <c r="D40" s="140"/>
      <c r="E40" s="132"/>
      <c r="F40" s="133"/>
      <c r="G40" s="133"/>
      <c r="H40" s="133"/>
      <c r="I40" s="133"/>
      <c r="J40" s="133"/>
      <c r="K40" s="133"/>
      <c r="L40" s="142"/>
      <c r="M40" s="142"/>
      <c r="N40" s="142"/>
      <c r="O40" s="142"/>
      <c r="P40" s="142"/>
    </row>
    <row r="41" spans="2:16" ht="20.65" x14ac:dyDescent="0.55000000000000004">
      <c r="B41" s="134"/>
      <c r="C41" s="134"/>
      <c r="D41" s="134"/>
      <c r="E41" s="134"/>
      <c r="F41" s="134"/>
      <c r="G41" s="134"/>
      <c r="H41" s="10"/>
      <c r="I41" s="10"/>
      <c r="J41" s="10"/>
      <c r="K41" s="65"/>
      <c r="L41" s="65"/>
      <c r="M41" s="65"/>
      <c r="N41" s="65"/>
      <c r="O41" s="137"/>
      <c r="P41" s="137"/>
    </row>
    <row r="42" spans="2:16" ht="20.65" x14ac:dyDescent="0.55000000000000004">
      <c r="B42" s="134"/>
      <c r="C42" s="134"/>
      <c r="D42" s="134"/>
      <c r="E42" s="134"/>
      <c r="F42" s="134"/>
      <c r="G42" s="134"/>
      <c r="H42" s="10"/>
      <c r="I42" s="10"/>
      <c r="J42" s="10"/>
      <c r="L42" s="65"/>
      <c r="M42" s="13" t="s">
        <v>18</v>
      </c>
      <c r="N42" s="65"/>
      <c r="O42" s="137"/>
      <c r="P42" s="137"/>
    </row>
    <row r="43" spans="2:16" ht="20.65" x14ac:dyDescent="0.55000000000000004">
      <c r="B43" s="134"/>
      <c r="C43" s="134"/>
      <c r="D43" s="134"/>
      <c r="E43" s="134"/>
      <c r="F43" s="134"/>
      <c r="G43" s="134"/>
      <c r="H43" s="10"/>
      <c r="I43" s="10"/>
      <c r="J43" s="10"/>
      <c r="K43" s="106"/>
      <c r="L43" s="106"/>
      <c r="M43" s="67">
        <f t="shared" ref="M43:P43" si="9">M27</f>
        <v>664.04699999999991</v>
      </c>
      <c r="N43" s="67">
        <f t="shared" si="9"/>
        <v>682.4405999999999</v>
      </c>
      <c r="O43" s="67">
        <f t="shared" si="9"/>
        <v>619.50415500000008</v>
      </c>
      <c r="P43" s="68">
        <f t="shared" si="9"/>
        <v>619.50415500000008</v>
      </c>
    </row>
    <row r="44" spans="2:16" ht="20.65" x14ac:dyDescent="0.55000000000000004">
      <c r="B44" s="134"/>
      <c r="C44" s="134"/>
      <c r="D44" s="10"/>
      <c r="E44" s="10"/>
      <c r="F44" s="65"/>
      <c r="G44" s="65"/>
      <c r="H44" s="10"/>
      <c r="I44" s="10"/>
      <c r="J44" s="10"/>
      <c r="K44" s="65"/>
      <c r="L44" s="65"/>
      <c r="M44" s="65"/>
      <c r="N44" s="65"/>
      <c r="O44" s="137"/>
      <c r="P44" s="137"/>
    </row>
    <row r="45" spans="2:16" ht="20.65" x14ac:dyDescent="0.55000000000000004">
      <c r="B45" s="9"/>
      <c r="C45" s="134"/>
      <c r="D45" s="137"/>
      <c r="E45" s="10"/>
      <c r="F45" s="137"/>
      <c r="G45" s="10"/>
      <c r="H45" s="10"/>
      <c r="I45" s="10"/>
      <c r="J45" s="10"/>
      <c r="K45" s="46"/>
      <c r="L45" s="46"/>
      <c r="M45" s="46"/>
      <c r="N45" s="46"/>
      <c r="O45" s="46"/>
      <c r="P45" s="134"/>
    </row>
    <row r="46" spans="2:16" ht="20.65" x14ac:dyDescent="0.55000000000000004">
      <c r="B46" s="134"/>
      <c r="C46" s="134"/>
      <c r="D46" s="13" t="s">
        <v>28</v>
      </c>
      <c r="E46" s="45"/>
      <c r="F46" s="45"/>
      <c r="G46" s="45"/>
      <c r="H46" s="10"/>
      <c r="I46" s="10"/>
      <c r="J46" s="10"/>
      <c r="L46" s="46"/>
      <c r="M46" s="13" t="s">
        <v>29</v>
      </c>
      <c r="N46" s="46"/>
      <c r="O46" s="46"/>
      <c r="P46" s="134"/>
    </row>
    <row r="47" spans="2:16" ht="20.65" x14ac:dyDescent="0.55000000000000004">
      <c r="B47" s="134"/>
      <c r="C47" s="134"/>
      <c r="D47" s="69" t="s">
        <v>30</v>
      </c>
      <c r="E47" s="143"/>
      <c r="F47" s="143"/>
      <c r="G47" s="70">
        <v>2013</v>
      </c>
      <c r="H47" s="10"/>
      <c r="J47" s="10"/>
      <c r="K47" s="15" t="s">
        <v>26</v>
      </c>
      <c r="L47" s="270"/>
      <c r="M47" s="71">
        <f>M43</f>
        <v>664.04699999999991</v>
      </c>
      <c r="N47" s="72">
        <f>N43</f>
        <v>682.4405999999999</v>
      </c>
      <c r="O47" s="73">
        <f>O43</f>
        <v>619.50415500000008</v>
      </c>
      <c r="P47" s="74"/>
    </row>
    <row r="48" spans="2:16" ht="20.65" x14ac:dyDescent="0.55000000000000004">
      <c r="B48" s="134"/>
      <c r="C48" s="134"/>
      <c r="D48" s="75" t="s">
        <v>31</v>
      </c>
      <c r="E48" s="134"/>
      <c r="F48" s="134"/>
      <c r="G48" s="76">
        <v>0.02</v>
      </c>
      <c r="H48" s="10"/>
      <c r="J48" s="10"/>
      <c r="K48" s="15" t="s">
        <v>32</v>
      </c>
      <c r="L48" s="20"/>
      <c r="M48" s="77">
        <v>0</v>
      </c>
      <c r="N48" s="20">
        <v>0</v>
      </c>
      <c r="O48" s="78">
        <f>P43/(G49-G48)</f>
        <v>8045.5085064935074</v>
      </c>
      <c r="P48" s="74"/>
    </row>
    <row r="49" spans="2:16" ht="20.65" x14ac:dyDescent="0.55000000000000004">
      <c r="B49" s="134"/>
      <c r="C49" s="134"/>
      <c r="D49" s="79" t="s">
        <v>33</v>
      </c>
      <c r="E49" s="144"/>
      <c r="F49" s="144"/>
      <c r="G49" s="264">
        <v>9.7000000000000003E-2</v>
      </c>
      <c r="H49" s="10"/>
      <c r="J49" s="10"/>
      <c r="K49" s="15" t="s">
        <v>34</v>
      </c>
      <c r="L49" s="270"/>
      <c r="M49" s="80">
        <f>SUM(M47:M48)</f>
        <v>664.04699999999991</v>
      </c>
      <c r="N49" s="81">
        <f>SUM(N47:N48)</f>
        <v>682.4405999999999</v>
      </c>
      <c r="O49" s="81">
        <f>SUM(O47:O48)</f>
        <v>8665.012661493507</v>
      </c>
      <c r="P49" s="39"/>
    </row>
    <row r="50" spans="2:16" ht="20.65" x14ac:dyDescent="0.55000000000000004">
      <c r="B50" s="134"/>
      <c r="C50" s="134"/>
      <c r="D50" s="10"/>
      <c r="E50" s="10"/>
      <c r="F50" s="65"/>
      <c r="G50" s="65"/>
      <c r="H50" s="10"/>
      <c r="I50" s="10"/>
      <c r="J50" s="10"/>
      <c r="K50" s="65"/>
      <c r="L50" s="65"/>
      <c r="M50" s="65"/>
      <c r="N50" s="65"/>
      <c r="O50" s="65"/>
      <c r="P50" s="137"/>
    </row>
    <row r="51" spans="2:16" ht="20.65" x14ac:dyDescent="0.55000000000000004">
      <c r="B51" s="134"/>
      <c r="C51" s="134"/>
      <c r="D51" s="10"/>
      <c r="E51" s="10"/>
      <c r="F51" s="65"/>
      <c r="G51" s="65"/>
      <c r="H51" s="10"/>
      <c r="I51" s="10"/>
      <c r="J51" s="10"/>
      <c r="K51" s="65"/>
      <c r="L51" s="65"/>
      <c r="M51" s="65"/>
      <c r="N51" s="65"/>
      <c r="O51" s="65"/>
      <c r="P51" s="137"/>
    </row>
    <row r="52" spans="2:16" ht="20.65" x14ac:dyDescent="0.55000000000000004">
      <c r="B52" s="134"/>
      <c r="C52" s="134"/>
      <c r="D52" s="10"/>
      <c r="E52" s="10"/>
      <c r="F52" s="65"/>
      <c r="G52" s="65"/>
      <c r="H52" s="10"/>
      <c r="I52" s="10"/>
      <c r="J52" s="10"/>
      <c r="K52" s="65"/>
      <c r="L52" s="65"/>
      <c r="M52" s="65"/>
      <c r="N52" s="65"/>
      <c r="O52" s="137"/>
      <c r="P52" s="137"/>
    </row>
    <row r="53" spans="2:16" ht="20.65" x14ac:dyDescent="0.55000000000000004">
      <c r="B53" s="134"/>
      <c r="C53" s="134"/>
      <c r="D53" s="10"/>
      <c r="E53" s="10"/>
      <c r="F53" s="65"/>
      <c r="G53" s="65"/>
      <c r="H53" s="10"/>
      <c r="I53" s="10"/>
      <c r="J53" s="10"/>
      <c r="K53" s="65"/>
      <c r="L53" s="65"/>
      <c r="M53" s="65"/>
      <c r="N53" s="65"/>
      <c r="O53" s="65"/>
      <c r="P53" s="238"/>
    </row>
    <row r="54" spans="2:16" ht="15.75" x14ac:dyDescent="0.55000000000000004">
      <c r="B54" s="45"/>
      <c r="C54" s="45"/>
      <c r="D54" s="13" t="s">
        <v>35</v>
      </c>
      <c r="E54" s="45"/>
      <c r="F54" s="45"/>
      <c r="G54" s="45"/>
      <c r="H54" s="45"/>
      <c r="I54" s="45"/>
      <c r="J54" s="45"/>
      <c r="K54" s="13" t="s">
        <v>36</v>
      </c>
      <c r="L54" s="45"/>
      <c r="M54" s="45"/>
      <c r="N54" s="45"/>
      <c r="O54" s="45"/>
      <c r="P54" s="45"/>
    </row>
    <row r="55" spans="2:16" ht="15.75" x14ac:dyDescent="0.55000000000000004">
      <c r="B55" s="45"/>
      <c r="C55" s="45"/>
      <c r="D55" s="69" t="s">
        <v>37</v>
      </c>
      <c r="E55" s="145"/>
      <c r="F55" s="82">
        <f>NPV(G49,M47:O47)</f>
        <v>1641.6911587074164</v>
      </c>
      <c r="G55" s="83">
        <f>F55/F57</f>
        <v>0.21221094772329435</v>
      </c>
      <c r="H55" s="84"/>
      <c r="I55" s="45"/>
      <c r="J55" s="45"/>
      <c r="K55" s="69" t="s">
        <v>38</v>
      </c>
      <c r="L55" s="145"/>
      <c r="M55" s="145"/>
      <c r="N55" s="85">
        <f>G64</f>
        <v>3636.1284906377541</v>
      </c>
      <c r="O55" s="84"/>
      <c r="P55" s="45"/>
    </row>
    <row r="56" spans="2:16" ht="15.75" x14ac:dyDescent="0.55000000000000004">
      <c r="B56" s="45"/>
      <c r="C56" s="45"/>
      <c r="D56" s="75" t="s">
        <v>39</v>
      </c>
      <c r="E56" s="45"/>
      <c r="F56" s="86">
        <f>NPV(G49,M48:O48)</f>
        <v>6094.4373319303377</v>
      </c>
      <c r="G56" s="87">
        <f>F56/F57</f>
        <v>0.7877890522767057</v>
      </c>
      <c r="H56" s="84"/>
      <c r="I56" s="45"/>
      <c r="J56" s="45"/>
      <c r="K56" s="75" t="s">
        <v>40</v>
      </c>
      <c r="L56" s="45"/>
      <c r="M56" s="88" t="s">
        <v>41</v>
      </c>
      <c r="N56" s="237">
        <v>631</v>
      </c>
      <c r="O56" s="45"/>
      <c r="P56" s="45"/>
    </row>
    <row r="57" spans="2:16" ht="15.75" x14ac:dyDescent="0.55000000000000004">
      <c r="B57" s="45"/>
      <c r="C57" s="45"/>
      <c r="D57" s="79" t="s">
        <v>42</v>
      </c>
      <c r="E57" s="146"/>
      <c r="F57" s="86">
        <f>SUM(F55:F56)</f>
        <v>7736.1284906377541</v>
      </c>
      <c r="G57" s="89">
        <f>SUM(G55:G56)</f>
        <v>1</v>
      </c>
      <c r="H57" s="84"/>
      <c r="I57" s="45"/>
      <c r="J57" s="45"/>
      <c r="K57" s="79" t="s">
        <v>38</v>
      </c>
      <c r="L57" s="146"/>
      <c r="M57" s="90" t="s">
        <v>43</v>
      </c>
      <c r="N57" s="91">
        <f>N55/N56</f>
        <v>5.7624857220883587</v>
      </c>
      <c r="O57" s="84"/>
      <c r="P57" s="45"/>
    </row>
    <row r="58" spans="2:16" ht="20.65" x14ac:dyDescent="0.55000000000000004">
      <c r="B58" s="134"/>
      <c r="C58" s="134"/>
      <c r="D58" s="10"/>
      <c r="E58" s="10"/>
      <c r="F58" s="65"/>
      <c r="G58" s="65"/>
      <c r="H58" s="10"/>
      <c r="I58" s="10"/>
      <c r="J58" s="10"/>
      <c r="K58" s="65"/>
      <c r="L58" s="65"/>
      <c r="M58" s="65"/>
      <c r="N58" s="65"/>
      <c r="O58" s="137"/>
      <c r="P58" s="137"/>
    </row>
    <row r="59" spans="2:16" ht="20.65" x14ac:dyDescent="0.55000000000000004">
      <c r="B59" s="134"/>
      <c r="C59" s="134"/>
      <c r="D59" s="10"/>
      <c r="E59" s="10"/>
      <c r="F59" s="65"/>
      <c r="G59" s="65"/>
      <c r="H59" s="10"/>
      <c r="I59" s="10"/>
      <c r="J59" s="10"/>
      <c r="K59" s="65"/>
      <c r="L59" s="65"/>
      <c r="M59" s="65"/>
      <c r="N59" s="65"/>
      <c r="O59" s="137"/>
      <c r="P59" s="137"/>
    </row>
    <row r="60" spans="2:16" ht="20.65" x14ac:dyDescent="0.55000000000000004">
      <c r="B60" s="134"/>
      <c r="C60" s="134"/>
      <c r="D60" s="10"/>
      <c r="E60" s="10"/>
      <c r="F60" s="65"/>
      <c r="G60" s="65"/>
      <c r="H60" s="10"/>
      <c r="I60" s="10"/>
      <c r="J60" s="10"/>
      <c r="K60" s="65"/>
      <c r="L60" s="65"/>
      <c r="M60" s="65"/>
      <c r="N60" s="65"/>
      <c r="O60" s="137"/>
      <c r="P60" s="137"/>
    </row>
    <row r="61" spans="2:16" ht="15.75" x14ac:dyDescent="0.55000000000000004">
      <c r="B61" s="45"/>
      <c r="C61" s="45"/>
      <c r="D61" s="13" t="s">
        <v>44</v>
      </c>
      <c r="E61" s="39"/>
      <c r="F61" s="45"/>
      <c r="G61" s="45"/>
      <c r="H61" s="45"/>
      <c r="I61" s="45"/>
      <c r="J61" s="45"/>
      <c r="K61" s="13" t="s">
        <v>45</v>
      </c>
      <c r="L61" s="39"/>
      <c r="M61" s="45"/>
      <c r="N61" s="45"/>
      <c r="O61" s="45"/>
      <c r="P61" s="45"/>
    </row>
    <row r="62" spans="2:16" ht="16.149999999999999" x14ac:dyDescent="0.55000000000000004">
      <c r="B62" s="45"/>
      <c r="C62" s="45"/>
      <c r="D62" s="69" t="s">
        <v>42</v>
      </c>
      <c r="E62" s="145"/>
      <c r="F62" s="145"/>
      <c r="G62" s="85">
        <f>F57</f>
        <v>7736.1284906377541</v>
      </c>
      <c r="H62" s="84"/>
      <c r="I62" s="45"/>
      <c r="J62" s="45"/>
      <c r="K62" s="69" t="s">
        <v>97</v>
      </c>
      <c r="L62" s="145"/>
      <c r="M62" s="92" t="s">
        <v>43</v>
      </c>
      <c r="N62" s="93">
        <f>N57</f>
        <v>5.7624857220883587</v>
      </c>
      <c r="O62" s="196" t="s">
        <v>98</v>
      </c>
      <c r="P62" s="45"/>
    </row>
    <row r="63" spans="2:16" ht="15.75" x14ac:dyDescent="0.55000000000000004">
      <c r="B63" s="45"/>
      <c r="C63" s="45"/>
      <c r="D63" s="75" t="s">
        <v>46</v>
      </c>
      <c r="E63" s="45"/>
      <c r="F63" s="45"/>
      <c r="G63" s="237">
        <v>-4100</v>
      </c>
      <c r="H63" s="45"/>
      <c r="I63" s="45"/>
      <c r="J63" s="45"/>
      <c r="K63" s="75" t="s">
        <v>47</v>
      </c>
      <c r="L63" s="45"/>
      <c r="M63" s="88" t="s">
        <v>43</v>
      </c>
      <c r="N63" s="94">
        <v>0.4</v>
      </c>
      <c r="O63" s="196" t="s">
        <v>99</v>
      </c>
      <c r="P63" s="45"/>
    </row>
    <row r="64" spans="2:16" ht="15.75" x14ac:dyDescent="0.55000000000000004">
      <c r="B64" s="45"/>
      <c r="C64" s="45"/>
      <c r="D64" s="79" t="s">
        <v>38</v>
      </c>
      <c r="E64" s="146"/>
      <c r="F64" s="146"/>
      <c r="G64" s="95">
        <f>SUM(G62:G63)</f>
        <v>3636.1284906377541</v>
      </c>
      <c r="H64" s="84"/>
      <c r="I64" s="45"/>
      <c r="J64" s="45"/>
      <c r="K64" s="79" t="s">
        <v>48</v>
      </c>
      <c r="L64" s="146"/>
      <c r="M64" s="146"/>
      <c r="N64" s="96">
        <f>N62/N63-1</f>
        <v>13.406214305220896</v>
      </c>
      <c r="O64" s="84"/>
      <c r="P64" s="45"/>
    </row>
    <row r="65" spans="2:16" ht="15.75" x14ac:dyDescent="0.55000000000000004">
      <c r="B65" s="45"/>
      <c r="C65" s="39"/>
      <c r="D65" s="45"/>
      <c r="E65" s="45"/>
      <c r="F65" s="45"/>
      <c r="G65" s="45"/>
      <c r="H65" s="45"/>
      <c r="I65" s="45"/>
      <c r="J65" s="45"/>
      <c r="K65" s="45"/>
      <c r="L65" s="65"/>
      <c r="M65" s="65"/>
      <c r="N65" s="65"/>
      <c r="O65" s="137"/>
      <c r="P65" s="45"/>
    </row>
    <row r="66" spans="2:16" ht="15.75" x14ac:dyDescent="0.55000000000000004">
      <c r="B66" s="45"/>
      <c r="C66" s="39"/>
      <c r="D66" s="45"/>
      <c r="E66" s="45"/>
      <c r="F66" s="45"/>
      <c r="G66" s="45"/>
      <c r="H66" s="45"/>
      <c r="I66" s="45"/>
      <c r="J66" s="45"/>
      <c r="K66" s="45"/>
      <c r="L66" s="65"/>
      <c r="M66" s="65"/>
      <c r="N66" s="65"/>
      <c r="O66" s="137"/>
      <c r="P66" s="45"/>
    </row>
    <row r="67" spans="2:16" ht="15.75" x14ac:dyDescent="0.55000000000000004">
      <c r="B67" s="137"/>
      <c r="C67" s="147"/>
      <c r="D67" s="147"/>
      <c r="E67" s="147"/>
      <c r="F67" s="147"/>
      <c r="G67" s="147"/>
      <c r="H67" s="147"/>
      <c r="I67" s="147"/>
      <c r="J67" s="147"/>
      <c r="K67" s="147"/>
      <c r="L67" s="147"/>
      <c r="M67" s="147"/>
      <c r="N67" s="147"/>
      <c r="O67" s="147"/>
      <c r="P67" s="45"/>
    </row>
    <row r="68" spans="2:16" ht="15.75" x14ac:dyDescent="0.55000000000000004">
      <c r="B68" s="137"/>
      <c r="C68" s="147"/>
      <c r="D68" s="147"/>
      <c r="E68" s="147"/>
      <c r="F68" s="147"/>
      <c r="G68" s="147"/>
      <c r="H68" s="147"/>
      <c r="I68" s="147"/>
      <c r="J68" s="147"/>
      <c r="K68" s="147"/>
      <c r="L68" s="147"/>
      <c r="M68" s="147"/>
      <c r="N68" s="47" t="s">
        <v>49</v>
      </c>
      <c r="O68" s="45"/>
      <c r="P68" s="45"/>
    </row>
    <row r="69" spans="2:16" ht="15.75" x14ac:dyDescent="0.55000000000000004">
      <c r="B69" s="137"/>
      <c r="C69" s="147"/>
      <c r="D69" s="147"/>
      <c r="E69" s="147"/>
      <c r="F69" s="147"/>
      <c r="G69" s="147"/>
      <c r="H69" s="147"/>
      <c r="I69" s="147"/>
      <c r="J69" s="147"/>
      <c r="K69" s="147"/>
      <c r="L69" s="147"/>
      <c r="M69" s="147"/>
      <c r="N69" s="97" t="s">
        <v>50</v>
      </c>
      <c r="O69" s="45"/>
      <c r="P69" s="45"/>
    </row>
    <row r="70" spans="2:16" ht="15.75" x14ac:dyDescent="0.55000000000000004">
      <c r="B70" s="137"/>
      <c r="C70" s="147"/>
      <c r="D70" s="147"/>
      <c r="E70" s="147"/>
      <c r="F70" s="147"/>
      <c r="G70" s="147"/>
      <c r="H70" s="147"/>
      <c r="I70" s="147"/>
      <c r="J70" s="147"/>
      <c r="K70" s="147"/>
      <c r="L70" s="147"/>
      <c r="M70" s="147"/>
      <c r="N70" s="97"/>
      <c r="O70" s="147"/>
      <c r="P70" s="45"/>
    </row>
    <row r="71" spans="2:16" ht="15" x14ac:dyDescent="0.55000000000000004">
      <c r="B71" s="48"/>
      <c r="C71" s="33"/>
      <c r="D71" s="34"/>
      <c r="E71" s="35"/>
      <c r="F71" s="49"/>
      <c r="G71" s="49"/>
      <c r="H71" s="49"/>
      <c r="I71" s="49"/>
      <c r="J71" s="49"/>
      <c r="K71" s="49"/>
      <c r="L71" s="49"/>
      <c r="M71" s="49"/>
      <c r="N71" s="49"/>
      <c r="O71" s="49"/>
      <c r="P71" s="49"/>
    </row>
    <row r="72" spans="2:16" ht="15.75" x14ac:dyDescent="0.55000000000000004">
      <c r="B72" s="137"/>
      <c r="C72" s="147"/>
      <c r="D72" s="147"/>
      <c r="E72" s="147"/>
      <c r="F72" s="147"/>
      <c r="G72" s="147"/>
      <c r="H72" s="147"/>
      <c r="I72" s="147"/>
      <c r="J72" s="147"/>
      <c r="K72" s="147"/>
      <c r="L72" s="147"/>
      <c r="M72" s="147"/>
      <c r="N72" s="147"/>
      <c r="O72" s="147"/>
      <c r="P72" s="45"/>
    </row>
    <row r="73" spans="2:16" ht="20.65" x14ac:dyDescent="0.55000000000000004">
      <c r="B73" s="5" t="s">
        <v>51</v>
      </c>
      <c r="C73" s="128"/>
      <c r="D73" s="138"/>
      <c r="E73" s="139"/>
      <c r="F73" s="130"/>
      <c r="G73" s="130"/>
      <c r="H73" s="130"/>
      <c r="I73" s="130"/>
      <c r="J73" s="130"/>
      <c r="K73" s="50"/>
      <c r="L73" s="51"/>
      <c r="M73" s="51"/>
      <c r="N73" s="51"/>
      <c r="O73" s="51"/>
      <c r="P73" s="6"/>
    </row>
    <row r="74" spans="2:16" ht="20.65" x14ac:dyDescent="0.55000000000000004">
      <c r="B74" s="52"/>
      <c r="C74" s="131"/>
      <c r="D74" s="140"/>
      <c r="E74" s="132"/>
      <c r="F74" s="133"/>
      <c r="G74" s="133"/>
      <c r="H74" s="133"/>
      <c r="I74" s="133"/>
      <c r="J74" s="133"/>
      <c r="K74" s="133"/>
      <c r="L74" s="133"/>
      <c r="M74" s="133"/>
      <c r="N74" s="133"/>
      <c r="O74" s="133"/>
      <c r="P74" s="133"/>
    </row>
    <row r="75" spans="2:16" ht="20.65" x14ac:dyDescent="0.55000000000000004">
      <c r="B75" s="9" t="s">
        <v>9</v>
      </c>
      <c r="C75" s="131"/>
      <c r="D75" s="140"/>
      <c r="E75" s="132"/>
      <c r="F75" s="133"/>
      <c r="G75" s="133"/>
      <c r="H75" s="134"/>
      <c r="I75" s="53"/>
      <c r="J75" s="53"/>
      <c r="K75" s="53"/>
      <c r="L75" s="53"/>
      <c r="M75" s="53"/>
      <c r="N75" s="45"/>
      <c r="O75" s="53"/>
      <c r="P75" s="53"/>
    </row>
    <row r="76" spans="2:16" ht="20.65" x14ac:dyDescent="0.55000000000000004">
      <c r="B76" s="9"/>
      <c r="C76" s="134"/>
      <c r="D76" s="141"/>
      <c r="E76" s="10"/>
      <c r="F76" s="134"/>
      <c r="G76" s="134"/>
      <c r="H76" s="134"/>
      <c r="I76" s="58"/>
      <c r="J76" s="58"/>
      <c r="K76" s="134"/>
      <c r="L76" s="134"/>
      <c r="M76" s="134"/>
      <c r="N76" s="134"/>
      <c r="O76" s="58"/>
      <c r="P76" s="58"/>
    </row>
    <row r="77" spans="2:16" ht="20.65" x14ac:dyDescent="0.55000000000000004">
      <c r="B77" s="9"/>
      <c r="C77" s="134"/>
      <c r="D77" s="141"/>
      <c r="E77" s="10"/>
      <c r="F77" s="134"/>
      <c r="G77" s="134"/>
      <c r="H77" s="134"/>
      <c r="I77" s="58"/>
      <c r="J77" s="58"/>
      <c r="K77" s="134"/>
      <c r="L77" s="134"/>
      <c r="M77" s="134"/>
      <c r="N77" s="134"/>
      <c r="O77" s="58"/>
      <c r="P77" s="58"/>
    </row>
    <row r="78" spans="2:16" ht="20.65" x14ac:dyDescent="0.55000000000000004">
      <c r="B78" s="9"/>
      <c r="C78" s="134"/>
      <c r="D78" s="98" t="s">
        <v>31</v>
      </c>
      <c r="E78" s="143"/>
      <c r="F78" s="143"/>
      <c r="G78" s="99">
        <f>G48</f>
        <v>0.02</v>
      </c>
      <c r="H78" s="84"/>
      <c r="I78" s="62"/>
      <c r="J78" s="62"/>
      <c r="K78" s="100" t="s">
        <v>40</v>
      </c>
      <c r="L78" s="145"/>
      <c r="M78" s="92" t="s">
        <v>41</v>
      </c>
      <c r="N78" s="85">
        <f>N56</f>
        <v>631</v>
      </c>
      <c r="O78" s="84"/>
      <c r="P78" s="62"/>
    </row>
    <row r="79" spans="2:16" ht="20.65" x14ac:dyDescent="0.55000000000000004">
      <c r="B79" s="52"/>
      <c r="C79" s="134"/>
      <c r="D79" s="101" t="s">
        <v>52</v>
      </c>
      <c r="E79" s="134"/>
      <c r="F79" s="134"/>
      <c r="G79" s="102">
        <f>G49</f>
        <v>9.7000000000000003E-2</v>
      </c>
      <c r="H79" s="84"/>
      <c r="I79" s="133"/>
      <c r="J79" s="133"/>
      <c r="K79" s="103" t="s">
        <v>47</v>
      </c>
      <c r="L79" s="146"/>
      <c r="M79" s="90" t="s">
        <v>53</v>
      </c>
      <c r="N79" s="91">
        <f>N63</f>
        <v>0.4</v>
      </c>
      <c r="O79" s="84"/>
      <c r="P79" s="133"/>
    </row>
    <row r="80" spans="2:16" ht="15.75" x14ac:dyDescent="0.55000000000000004">
      <c r="B80" s="137"/>
      <c r="C80" s="45"/>
      <c r="D80" s="104" t="s">
        <v>42</v>
      </c>
      <c r="E80" s="45"/>
      <c r="F80" s="45"/>
      <c r="G80" s="105">
        <f>F57</f>
        <v>7736.1284906377541</v>
      </c>
      <c r="H80" s="84"/>
      <c r="I80" s="147"/>
      <c r="J80" s="147"/>
      <c r="K80" s="45"/>
      <c r="L80" s="45"/>
      <c r="M80" s="45"/>
      <c r="N80" s="45"/>
      <c r="O80" s="45"/>
      <c r="P80" s="45"/>
    </row>
    <row r="81" spans="2:16" ht="15.75" x14ac:dyDescent="0.55000000000000004">
      <c r="B81" s="137"/>
      <c r="C81" s="45"/>
      <c r="D81" s="103" t="s">
        <v>54</v>
      </c>
      <c r="E81" s="146"/>
      <c r="F81" s="146"/>
      <c r="G81" s="95">
        <f>-G63</f>
        <v>4100</v>
      </c>
      <c r="H81" s="84"/>
      <c r="I81" s="147"/>
      <c r="J81" s="147"/>
      <c r="K81" s="45"/>
      <c r="L81" s="45"/>
      <c r="M81" s="45"/>
      <c r="N81" s="45"/>
      <c r="O81" s="106"/>
      <c r="P81" s="45"/>
    </row>
    <row r="82" spans="2:16" ht="15.75" x14ac:dyDescent="0.55000000000000004">
      <c r="B82" s="137"/>
      <c r="C82" s="45"/>
      <c r="D82" s="45"/>
      <c r="E82" s="45"/>
      <c r="F82" s="45"/>
      <c r="G82" s="45"/>
      <c r="H82" s="147"/>
      <c r="I82" s="147"/>
      <c r="J82" s="147"/>
      <c r="K82" s="45"/>
      <c r="L82" s="45"/>
      <c r="M82" s="45"/>
      <c r="N82" s="45"/>
      <c r="O82" s="43"/>
      <c r="P82" s="45"/>
    </row>
    <row r="83" spans="2:16" ht="15.75" x14ac:dyDescent="0.55000000000000004">
      <c r="B83" s="45"/>
      <c r="C83" s="39"/>
      <c r="D83" s="15"/>
      <c r="E83" s="45"/>
      <c r="F83" s="88"/>
      <c r="G83" s="43"/>
      <c r="H83" s="45"/>
      <c r="I83" s="45"/>
      <c r="J83" s="45"/>
      <c r="K83" s="45"/>
      <c r="L83" s="65"/>
      <c r="M83" s="65"/>
      <c r="N83" s="65"/>
      <c r="O83" s="137"/>
      <c r="P83" s="45"/>
    </row>
    <row r="84" spans="2:16" x14ac:dyDescent="0.45">
      <c r="B84" s="137"/>
      <c r="C84" s="137"/>
      <c r="D84" s="147"/>
      <c r="E84" s="147"/>
      <c r="F84" s="147"/>
      <c r="G84" s="147"/>
      <c r="H84" s="147"/>
      <c r="I84" s="147"/>
      <c r="J84" s="147"/>
      <c r="K84" s="147"/>
      <c r="L84" s="147"/>
      <c r="M84" s="147"/>
      <c r="N84" s="147"/>
      <c r="O84" s="147"/>
      <c r="P84" s="147"/>
    </row>
    <row r="85" spans="2:16" ht="15.75" x14ac:dyDescent="0.55000000000000004">
      <c r="B85" s="148"/>
      <c r="C85" s="137"/>
      <c r="D85" s="107" t="s">
        <v>58</v>
      </c>
      <c r="E85" s="149"/>
      <c r="F85" s="149"/>
      <c r="G85" s="149"/>
      <c r="H85" s="149"/>
      <c r="I85" s="148"/>
      <c r="J85" s="147"/>
      <c r="K85" s="107" t="s">
        <v>36</v>
      </c>
      <c r="L85" s="150"/>
      <c r="M85" s="150"/>
      <c r="N85" s="150"/>
      <c r="O85" s="150"/>
      <c r="P85" s="45"/>
    </row>
    <row r="86" spans="2:16" ht="15.75" x14ac:dyDescent="0.55000000000000004">
      <c r="B86" s="137"/>
      <c r="C86" s="45"/>
      <c r="D86" s="151"/>
      <c r="E86" s="151"/>
      <c r="F86" s="151"/>
      <c r="G86" s="151"/>
      <c r="H86" s="151"/>
      <c r="I86" s="137"/>
      <c r="J86" s="45"/>
      <c r="K86" s="152"/>
      <c r="L86" s="152"/>
      <c r="M86" s="152"/>
      <c r="N86" s="152"/>
      <c r="O86" s="152"/>
      <c r="P86" s="45"/>
    </row>
    <row r="87" spans="2:16" ht="15.75" x14ac:dyDescent="0.55000000000000004">
      <c r="B87" s="148"/>
      <c r="C87" s="84"/>
      <c r="D87" s="108" t="s">
        <v>31</v>
      </c>
      <c r="E87" s="109"/>
      <c r="F87" s="109"/>
      <c r="G87" s="109"/>
      <c r="H87" s="109"/>
      <c r="I87" s="148"/>
      <c r="J87" s="153"/>
      <c r="K87" s="108" t="s">
        <v>31</v>
      </c>
      <c r="L87" s="109"/>
      <c r="M87" s="109"/>
      <c r="N87" s="109"/>
      <c r="O87" s="109"/>
      <c r="P87" s="148"/>
    </row>
    <row r="88" spans="2:16" ht="15.75" x14ac:dyDescent="0.55000000000000004">
      <c r="B88" s="137"/>
      <c r="C88" s="154">
        <f>G80</f>
        <v>7736.1284906377541</v>
      </c>
      <c r="D88" s="110">
        <f>E88-0.005</f>
        <v>1.4999999999999999E-2</v>
      </c>
      <c r="E88" s="110">
        <f>F88-0.005</f>
        <v>0.02</v>
      </c>
      <c r="F88" s="111">
        <v>2.5000000000000001E-2</v>
      </c>
      <c r="G88" s="110">
        <f>F88+0.005</f>
        <v>3.0000000000000002E-2</v>
      </c>
      <c r="H88" s="110">
        <f>G88+0.005</f>
        <v>3.5000000000000003E-2</v>
      </c>
      <c r="I88" s="137"/>
      <c r="J88" s="112"/>
      <c r="K88" s="113" cm="1">
        <f t="array" ref="K88:O88">D88:H88</f>
        <v>1.4999999999999999E-2</v>
      </c>
      <c r="L88" s="113">
        <v>0.02</v>
      </c>
      <c r="M88" s="113">
        <v>2.5000000000000001E-2</v>
      </c>
      <c r="N88" s="113">
        <v>3.0000000000000002E-2</v>
      </c>
      <c r="O88" s="113">
        <v>3.5000000000000003E-2</v>
      </c>
      <c r="P88" s="45"/>
    </row>
    <row r="89" spans="2:16" ht="15.75" x14ac:dyDescent="0.55000000000000004">
      <c r="B89" s="291" t="s">
        <v>7</v>
      </c>
      <c r="C89" s="110">
        <f>C90-0.01</f>
        <v>7.9880848400000024E-2</v>
      </c>
      <c r="D89" s="114">
        <f t="dataTable" ref="D89:H93" dt2D="1" dtr="1" r1="G48" r2="G49"/>
        <v>9274.3697164501045</v>
      </c>
      <c r="E89" s="115">
        <v>9907.484195292096</v>
      </c>
      <c r="F89" s="115">
        <v>10655.960316182243</v>
      </c>
      <c r="G89" s="115">
        <v>11554.489241885976</v>
      </c>
      <c r="H89" s="116">
        <v>12653.221362880409</v>
      </c>
      <c r="I89" s="291" t="s">
        <v>7</v>
      </c>
      <c r="J89" s="113">
        <f>C89</f>
        <v>7.9880848400000024E-2</v>
      </c>
      <c r="K89" s="185">
        <f>D101/$N$78</f>
        <v>8.2002689642632394</v>
      </c>
      <c r="L89" s="186">
        <f t="shared" ref="L89:O93" si="10">E101/$N$78</f>
        <v>9.203619960843259</v>
      </c>
      <c r="M89" s="186">
        <f t="shared" si="10"/>
        <v>10.389794478894204</v>
      </c>
      <c r="N89" s="186">
        <f t="shared" si="10"/>
        <v>11.813770589359709</v>
      </c>
      <c r="O89" s="187">
        <f t="shared" si="10"/>
        <v>13.555025931664675</v>
      </c>
      <c r="P89" s="45"/>
    </row>
    <row r="90" spans="2:16" ht="15.75" x14ac:dyDescent="0.55000000000000004">
      <c r="B90" s="291"/>
      <c r="C90" s="110">
        <f>C91-0.01</f>
        <v>8.9880848400000019E-2</v>
      </c>
      <c r="D90" s="117">
        <v>8052.8570411026349</v>
      </c>
      <c r="E90" s="125">
        <v>8510.1012767533739</v>
      </c>
      <c r="F90" s="125">
        <v>9037.8199662570805</v>
      </c>
      <c r="G90" s="125">
        <v>9653.6667807964568</v>
      </c>
      <c r="H90" s="118">
        <v>10381.728845736257</v>
      </c>
      <c r="I90" s="291"/>
      <c r="J90" s="113">
        <f>C90</f>
        <v>8.9880848400000019E-2</v>
      </c>
      <c r="K90" s="188">
        <f t="shared" ref="K90:K93" si="11">D102/$N$78</f>
        <v>6.2644327117315921</v>
      </c>
      <c r="L90" s="155">
        <f t="shared" si="10"/>
        <v>6.9890669996091503</v>
      </c>
      <c r="M90" s="155">
        <f t="shared" si="10"/>
        <v>7.825388219107893</v>
      </c>
      <c r="N90" s="155">
        <f t="shared" si="10"/>
        <v>8.8013736621179977</v>
      </c>
      <c r="O90" s="189">
        <f t="shared" si="10"/>
        <v>9.9551962689956532</v>
      </c>
      <c r="P90" s="45"/>
    </row>
    <row r="91" spans="2:16" ht="15.75" x14ac:dyDescent="0.55000000000000004">
      <c r="B91" s="291"/>
      <c r="C91" s="236">
        <v>9.9880848400000014E-2</v>
      </c>
      <c r="D91" s="117">
        <v>7118.7258349327412</v>
      </c>
      <c r="E91" s="125">
        <v>7462.066249609843</v>
      </c>
      <c r="F91" s="119">
        <v>7851.2582300762433</v>
      </c>
      <c r="G91" s="125">
        <v>8296.1438647236355</v>
      </c>
      <c r="H91" s="118">
        <v>8809.5991382734974</v>
      </c>
      <c r="I91" s="291"/>
      <c r="J91" s="113">
        <f>C91</f>
        <v>9.9880848400000014E-2</v>
      </c>
      <c r="K91" s="188">
        <f t="shared" si="11"/>
        <v>4.7840346036968961</v>
      </c>
      <c r="L91" s="155">
        <f t="shared" si="10"/>
        <v>5.3281557046114782</v>
      </c>
      <c r="M91" s="155">
        <f t="shared" si="10"/>
        <v>5.9449417275376284</v>
      </c>
      <c r="N91" s="155">
        <f t="shared" si="10"/>
        <v>6.6499902768995804</v>
      </c>
      <c r="O91" s="189">
        <f t="shared" si="10"/>
        <v>7.4637070337139422</v>
      </c>
      <c r="P91" s="45"/>
    </row>
    <row r="92" spans="2:16" ht="15.75" x14ac:dyDescent="0.55000000000000004">
      <c r="B92" s="291"/>
      <c r="C92" s="110">
        <f>C91+0.01</f>
        <v>0.10988084840000001</v>
      </c>
      <c r="D92" s="117">
        <v>6381.1248974629989</v>
      </c>
      <c r="E92" s="125">
        <v>6646.7930116107173</v>
      </c>
      <c r="F92" s="125">
        <v>6943.7600723589394</v>
      </c>
      <c r="G92" s="125">
        <v>7277.9033858256071</v>
      </c>
      <c r="H92" s="118">
        <v>7656.6700336436352</v>
      </c>
      <c r="I92" s="291"/>
      <c r="J92" s="113">
        <f>C92</f>
        <v>0.10988084840000001</v>
      </c>
      <c r="K92" s="188">
        <f t="shared" si="11"/>
        <v>3.6150949246640236</v>
      </c>
      <c r="L92" s="155">
        <f t="shared" si="10"/>
        <v>4.0361220469266517</v>
      </c>
      <c r="M92" s="155">
        <f t="shared" si="10"/>
        <v>4.5067513032629787</v>
      </c>
      <c r="N92" s="155">
        <f t="shared" si="10"/>
        <v>5.0362969664431176</v>
      </c>
      <c r="O92" s="189">
        <f t="shared" si="10"/>
        <v>5.636561067581038</v>
      </c>
      <c r="P92" s="45"/>
    </row>
    <row r="93" spans="2:16" ht="15.75" x14ac:dyDescent="0.55000000000000004">
      <c r="B93" s="291"/>
      <c r="C93" s="110">
        <f>C92+0.01</f>
        <v>0.1198808484</v>
      </c>
      <c r="D93" s="120">
        <v>5783.8517034818969</v>
      </c>
      <c r="E93" s="121">
        <v>5994.3847914732251</v>
      </c>
      <c r="F93" s="121">
        <v>6227.1070874598017</v>
      </c>
      <c r="G93" s="121">
        <v>6485.7216953381048</v>
      </c>
      <c r="H93" s="122">
        <v>6774.8042606830431</v>
      </c>
      <c r="I93" s="291"/>
      <c r="J93" s="113">
        <f>C93</f>
        <v>0.1198808484</v>
      </c>
      <c r="K93" s="190">
        <f t="shared" si="11"/>
        <v>2.6685446964847812</v>
      </c>
      <c r="L93" s="191">
        <f t="shared" si="10"/>
        <v>3.0021945982143028</v>
      </c>
      <c r="M93" s="191">
        <f t="shared" si="10"/>
        <v>3.3710096473213973</v>
      </c>
      <c r="N93" s="191">
        <f t="shared" si="10"/>
        <v>3.7808584712172819</v>
      </c>
      <c r="O93" s="192">
        <f t="shared" si="10"/>
        <v>4.2389924891965816</v>
      </c>
      <c r="P93" s="45"/>
    </row>
    <row r="94" spans="2:16" ht="15.75" x14ac:dyDescent="0.55000000000000004">
      <c r="B94" s="137"/>
      <c r="C94" s="147"/>
      <c r="D94" s="147"/>
      <c r="E94" s="147"/>
      <c r="F94" s="147"/>
      <c r="G94" s="147"/>
      <c r="H94" s="84"/>
      <c r="I94" s="45"/>
      <c r="J94" s="45"/>
      <c r="K94" s="45"/>
      <c r="L94" s="45"/>
      <c r="M94" s="45"/>
      <c r="N94" s="45"/>
      <c r="O94" s="84"/>
      <c r="P94" s="45"/>
    </row>
    <row r="95" spans="2:16" ht="15.75" x14ac:dyDescent="0.55000000000000004">
      <c r="B95" s="137"/>
      <c r="C95" s="147"/>
      <c r="D95" s="147"/>
      <c r="E95" s="147"/>
      <c r="F95" s="147"/>
      <c r="G95" s="147"/>
      <c r="H95" s="147"/>
      <c r="I95" s="147"/>
      <c r="J95" s="147"/>
      <c r="K95" s="147"/>
      <c r="L95" s="147"/>
      <c r="M95" s="147"/>
      <c r="N95" s="147"/>
      <c r="O95" s="147"/>
      <c r="P95" s="45"/>
    </row>
    <row r="96" spans="2:16" ht="15.75" x14ac:dyDescent="0.55000000000000004">
      <c r="B96" s="137"/>
      <c r="C96" s="147"/>
      <c r="D96" s="147"/>
      <c r="E96" s="147"/>
      <c r="F96" s="147"/>
      <c r="G96" s="147"/>
      <c r="H96" s="147"/>
      <c r="I96" s="147"/>
      <c r="J96" s="147"/>
      <c r="K96" s="147"/>
      <c r="L96" s="147"/>
      <c r="M96" s="147"/>
      <c r="N96" s="147"/>
      <c r="O96" s="147"/>
      <c r="P96" s="45"/>
    </row>
    <row r="97" spans="2:16" ht="15.75" x14ac:dyDescent="0.55000000000000004">
      <c r="B97" s="137"/>
      <c r="C97" s="147"/>
      <c r="D97" s="107" t="s">
        <v>44</v>
      </c>
      <c r="E97" s="149"/>
      <c r="F97" s="149"/>
      <c r="G97" s="149"/>
      <c r="H97" s="149"/>
      <c r="I97" s="147"/>
      <c r="J97" s="147"/>
      <c r="K97" s="107" t="s">
        <v>55</v>
      </c>
      <c r="L97" s="150"/>
      <c r="M97" s="150"/>
      <c r="N97" s="150"/>
      <c r="O97" s="150"/>
      <c r="P97" s="45"/>
    </row>
    <row r="98" spans="2:16" ht="15.75" x14ac:dyDescent="0.55000000000000004">
      <c r="B98" s="137"/>
      <c r="C98" s="45"/>
      <c r="D98" s="151"/>
      <c r="E98" s="151"/>
      <c r="F98" s="151"/>
      <c r="G98" s="151"/>
      <c r="H98" s="151"/>
      <c r="I98" s="147"/>
      <c r="J98" s="147"/>
      <c r="K98" s="152"/>
      <c r="L98" s="152"/>
      <c r="M98" s="152"/>
      <c r="N98" s="152"/>
      <c r="O98" s="152"/>
      <c r="P98" s="45"/>
    </row>
    <row r="99" spans="2:16" ht="15.75" x14ac:dyDescent="0.55000000000000004">
      <c r="B99" s="148"/>
      <c r="C99" s="148"/>
      <c r="D99" s="108" t="s">
        <v>31</v>
      </c>
      <c r="E99" s="109"/>
      <c r="F99" s="109"/>
      <c r="G99" s="109"/>
      <c r="H99" s="109"/>
      <c r="I99" s="153"/>
      <c r="J99" s="153"/>
      <c r="K99" s="108" t="s">
        <v>31</v>
      </c>
      <c r="L99" s="109"/>
      <c r="M99" s="109"/>
      <c r="N99" s="109"/>
      <c r="O99" s="109"/>
      <c r="P99" s="148"/>
    </row>
    <row r="100" spans="2:16" ht="15.75" x14ac:dyDescent="0.55000000000000004">
      <c r="B100" s="147"/>
      <c r="C100" s="123"/>
      <c r="D100" s="113">
        <f>D88</f>
        <v>1.4999999999999999E-2</v>
      </c>
      <c r="E100" s="113">
        <f>E88</f>
        <v>0.02</v>
      </c>
      <c r="F100" s="113">
        <f>F88</f>
        <v>2.5000000000000001E-2</v>
      </c>
      <c r="G100" s="113">
        <f>G88</f>
        <v>3.0000000000000002E-2</v>
      </c>
      <c r="H100" s="113">
        <f>H88</f>
        <v>3.5000000000000003E-2</v>
      </c>
      <c r="I100" s="147"/>
      <c r="J100" s="124"/>
      <c r="K100" s="113">
        <f>K88</f>
        <v>1.4999999999999999E-2</v>
      </c>
      <c r="L100" s="113">
        <f t="shared" ref="L100:O100" si="12">L88</f>
        <v>0.02</v>
      </c>
      <c r="M100" s="113">
        <f t="shared" si="12"/>
        <v>2.5000000000000001E-2</v>
      </c>
      <c r="N100" s="113">
        <f t="shared" si="12"/>
        <v>3.0000000000000002E-2</v>
      </c>
      <c r="O100" s="113">
        <f t="shared" si="12"/>
        <v>3.5000000000000003E-2</v>
      </c>
      <c r="P100" s="45"/>
    </row>
    <row r="101" spans="2:16" ht="15.75" x14ac:dyDescent="0.55000000000000004">
      <c r="B101" s="291" t="s">
        <v>7</v>
      </c>
      <c r="C101" s="113">
        <f>C89</f>
        <v>7.9880848400000024E-2</v>
      </c>
      <c r="D101" s="177">
        <f>D89-$G$81</f>
        <v>5174.3697164501045</v>
      </c>
      <c r="E101" s="178">
        <f t="shared" ref="E101:H101" si="13">E89-$G$81</f>
        <v>5807.484195292096</v>
      </c>
      <c r="F101" s="178">
        <f t="shared" si="13"/>
        <v>6555.9603161822433</v>
      </c>
      <c r="G101" s="178">
        <f t="shared" si="13"/>
        <v>7454.4892418859763</v>
      </c>
      <c r="H101" s="179">
        <f t="shared" si="13"/>
        <v>8553.2213628804093</v>
      </c>
      <c r="I101" s="291" t="s">
        <v>7</v>
      </c>
      <c r="J101" s="113">
        <f>J89</f>
        <v>7.9880848400000024E-2</v>
      </c>
      <c r="K101" s="169">
        <f>K89/$N$79-1</f>
        <v>19.500672410658098</v>
      </c>
      <c r="L101" s="170">
        <f t="shared" ref="L101:O101" si="14">L89/$N$79-1</f>
        <v>22.009049902108146</v>
      </c>
      <c r="M101" s="170">
        <f t="shared" si="14"/>
        <v>24.97448619723551</v>
      </c>
      <c r="N101" s="170">
        <f t="shared" si="14"/>
        <v>28.534426473399272</v>
      </c>
      <c r="O101" s="171">
        <f t="shared" si="14"/>
        <v>32.887564829161683</v>
      </c>
      <c r="P101" s="45"/>
    </row>
    <row r="102" spans="2:16" ht="15.75" x14ac:dyDescent="0.55000000000000004">
      <c r="B102" s="291"/>
      <c r="C102" s="113">
        <f>C90</f>
        <v>8.9880848400000019E-2</v>
      </c>
      <c r="D102" s="180">
        <f t="shared" ref="D102:H105" si="15">D90-$G$81</f>
        <v>3952.8570411026349</v>
      </c>
      <c r="E102" s="125">
        <f t="shared" si="15"/>
        <v>4410.1012767533739</v>
      </c>
      <c r="F102" s="125">
        <f t="shared" si="15"/>
        <v>4937.8199662570805</v>
      </c>
      <c r="G102" s="125">
        <f t="shared" si="15"/>
        <v>5553.6667807964568</v>
      </c>
      <c r="H102" s="181">
        <f t="shared" si="15"/>
        <v>6281.7288457362574</v>
      </c>
      <c r="I102" s="291"/>
      <c r="J102" s="113">
        <f t="shared" ref="J102:J105" si="16">J90</f>
        <v>8.9880848400000019E-2</v>
      </c>
      <c r="K102" s="172">
        <f t="shared" ref="K102:O105" si="17">K90/$N$79-1</f>
        <v>14.661081779328979</v>
      </c>
      <c r="L102" s="156">
        <f t="shared" si="17"/>
        <v>16.472667499022876</v>
      </c>
      <c r="M102" s="156">
        <f t="shared" si="17"/>
        <v>18.563470547769732</v>
      </c>
      <c r="N102" s="156">
        <f t="shared" si="17"/>
        <v>21.003434155294993</v>
      </c>
      <c r="O102" s="173">
        <f t="shared" si="17"/>
        <v>23.887990672489131</v>
      </c>
      <c r="P102" s="45"/>
    </row>
    <row r="103" spans="2:16" ht="15.75" x14ac:dyDescent="0.55000000000000004">
      <c r="B103" s="291"/>
      <c r="C103" s="113">
        <f>C91</f>
        <v>9.9880848400000014E-2</v>
      </c>
      <c r="D103" s="180">
        <f t="shared" si="15"/>
        <v>3018.7258349327412</v>
      </c>
      <c r="E103" s="125">
        <f t="shared" si="15"/>
        <v>3362.066249609843</v>
      </c>
      <c r="F103" s="125">
        <f t="shared" si="15"/>
        <v>3751.2582300762433</v>
      </c>
      <c r="G103" s="125">
        <f t="shared" si="15"/>
        <v>4196.1438647236355</v>
      </c>
      <c r="H103" s="181">
        <f t="shared" si="15"/>
        <v>4709.5991382734974</v>
      </c>
      <c r="I103" s="291"/>
      <c r="J103" s="113">
        <f t="shared" si="16"/>
        <v>9.9880848400000014E-2</v>
      </c>
      <c r="K103" s="172">
        <f t="shared" si="17"/>
        <v>10.96008650924224</v>
      </c>
      <c r="L103" s="156">
        <f t="shared" si="17"/>
        <v>12.320389261528694</v>
      </c>
      <c r="M103" s="156">
        <f t="shared" si="17"/>
        <v>13.862354318844071</v>
      </c>
      <c r="N103" s="156">
        <f t="shared" si="17"/>
        <v>15.624975692248949</v>
      </c>
      <c r="O103" s="173">
        <f t="shared" si="17"/>
        <v>17.659267584284855</v>
      </c>
      <c r="P103" s="45"/>
    </row>
    <row r="104" spans="2:16" ht="15.75" x14ac:dyDescent="0.55000000000000004">
      <c r="B104" s="291"/>
      <c r="C104" s="113">
        <f>C92</f>
        <v>0.10988084840000001</v>
      </c>
      <c r="D104" s="180">
        <f t="shared" si="15"/>
        <v>2281.1248974629989</v>
      </c>
      <c r="E104" s="125">
        <f t="shared" si="15"/>
        <v>2546.7930116107173</v>
      </c>
      <c r="F104" s="125">
        <f t="shared" si="15"/>
        <v>2843.7600723589394</v>
      </c>
      <c r="G104" s="125">
        <f t="shared" si="15"/>
        <v>3177.9033858256071</v>
      </c>
      <c r="H104" s="181">
        <f t="shared" si="15"/>
        <v>3556.6700336436352</v>
      </c>
      <c r="I104" s="291"/>
      <c r="J104" s="113">
        <f t="shared" si="16"/>
        <v>0.10988084840000001</v>
      </c>
      <c r="K104" s="172">
        <f t="shared" si="17"/>
        <v>8.0377373116600577</v>
      </c>
      <c r="L104" s="156">
        <f t="shared" si="17"/>
        <v>9.0903051173166283</v>
      </c>
      <c r="M104" s="156">
        <f t="shared" si="17"/>
        <v>10.266878258157446</v>
      </c>
      <c r="N104" s="156">
        <f t="shared" si="17"/>
        <v>11.590742416107794</v>
      </c>
      <c r="O104" s="173">
        <f t="shared" si="17"/>
        <v>13.091402668952595</v>
      </c>
      <c r="P104" s="45"/>
    </row>
    <row r="105" spans="2:16" ht="15.75" x14ac:dyDescent="0.55000000000000004">
      <c r="B105" s="291"/>
      <c r="C105" s="113">
        <f>C93</f>
        <v>0.1198808484</v>
      </c>
      <c r="D105" s="182">
        <f t="shared" si="15"/>
        <v>1683.8517034818969</v>
      </c>
      <c r="E105" s="183">
        <f t="shared" si="15"/>
        <v>1894.3847914732251</v>
      </c>
      <c r="F105" s="183">
        <f t="shared" si="15"/>
        <v>2127.1070874598017</v>
      </c>
      <c r="G105" s="183">
        <f t="shared" si="15"/>
        <v>2385.7216953381048</v>
      </c>
      <c r="H105" s="184">
        <f t="shared" si="15"/>
        <v>2674.8042606830431</v>
      </c>
      <c r="I105" s="291"/>
      <c r="J105" s="113">
        <f t="shared" si="16"/>
        <v>0.1198808484</v>
      </c>
      <c r="K105" s="174">
        <f t="shared" si="17"/>
        <v>5.6713617412119524</v>
      </c>
      <c r="L105" s="175">
        <f t="shared" si="17"/>
        <v>6.5054864955357568</v>
      </c>
      <c r="M105" s="175">
        <f t="shared" si="17"/>
        <v>7.4275241183034932</v>
      </c>
      <c r="N105" s="175">
        <f t="shared" si="17"/>
        <v>8.4521461780432041</v>
      </c>
      <c r="O105" s="176">
        <f t="shared" si="17"/>
        <v>9.597481222991453</v>
      </c>
      <c r="P105" s="45"/>
    </row>
    <row r="106" spans="2:16" ht="15.75" x14ac:dyDescent="0.55000000000000004">
      <c r="B106" s="147"/>
      <c r="C106" s="147"/>
      <c r="D106" s="126"/>
      <c r="E106" s="126"/>
      <c r="F106" s="126"/>
      <c r="G106" s="126"/>
      <c r="H106" s="84"/>
      <c r="I106" s="45"/>
      <c r="J106" s="45"/>
      <c r="K106" s="45"/>
      <c r="L106" s="45"/>
      <c r="M106" s="45"/>
      <c r="N106" s="45"/>
      <c r="O106" s="84"/>
      <c r="P106" s="45"/>
    </row>
    <row r="107" spans="2:16" ht="20.65" x14ac:dyDescent="0.55000000000000004">
      <c r="B107" s="134"/>
      <c r="C107" s="131"/>
      <c r="D107" s="10"/>
      <c r="E107" s="10"/>
      <c r="F107" s="10"/>
      <c r="G107" s="45"/>
      <c r="H107" s="45"/>
      <c r="I107" s="45"/>
      <c r="J107" s="45"/>
      <c r="K107" s="45"/>
      <c r="L107" s="45"/>
      <c r="M107" s="45"/>
      <c r="N107" s="134"/>
      <c r="O107" s="134"/>
      <c r="P107" s="134"/>
    </row>
    <row r="108" spans="2:16" ht="15.75" x14ac:dyDescent="0.55000000000000004">
      <c r="B108" s="137"/>
      <c r="C108" s="147"/>
      <c r="D108" s="147"/>
      <c r="E108" s="147"/>
      <c r="F108" s="147"/>
      <c r="G108" s="147"/>
      <c r="H108" s="147"/>
      <c r="I108" s="147"/>
      <c r="J108" s="147"/>
      <c r="K108" s="147"/>
      <c r="L108" s="147"/>
      <c r="M108" s="147"/>
      <c r="N108" s="45"/>
      <c r="O108" s="47" t="s">
        <v>49</v>
      </c>
      <c r="P108" s="45"/>
    </row>
    <row r="109" spans="2:16" ht="15.75" x14ac:dyDescent="0.55000000000000004">
      <c r="B109" s="137"/>
      <c r="C109" s="147"/>
      <c r="D109" s="147"/>
      <c r="E109" s="147"/>
      <c r="F109" s="147"/>
      <c r="G109" s="147"/>
      <c r="H109" s="147"/>
      <c r="I109" s="147"/>
      <c r="J109" s="147"/>
      <c r="K109" s="147"/>
      <c r="L109" s="147"/>
      <c r="M109" s="147"/>
      <c r="N109" s="45"/>
      <c r="O109" s="97" t="s">
        <v>56</v>
      </c>
      <c r="P109" s="45"/>
    </row>
    <row r="110" spans="2:16" ht="15.75" x14ac:dyDescent="0.55000000000000004">
      <c r="B110" s="137"/>
      <c r="C110" s="147"/>
      <c r="D110" s="147"/>
      <c r="E110" s="147"/>
      <c r="F110" s="147"/>
      <c r="G110" s="147"/>
      <c r="H110" s="147"/>
      <c r="I110" s="147"/>
      <c r="J110" s="147"/>
      <c r="K110" s="147"/>
      <c r="L110" s="147"/>
      <c r="M110" s="147"/>
      <c r="N110" s="45"/>
      <c r="O110" s="97"/>
      <c r="P110" s="45"/>
    </row>
    <row r="111" spans="2:16" ht="15" x14ac:dyDescent="0.55000000000000004">
      <c r="B111" s="48"/>
      <c r="C111" s="33"/>
      <c r="D111" s="34"/>
      <c r="E111" s="35"/>
      <c r="F111" s="49"/>
      <c r="G111" s="49"/>
      <c r="H111" s="49"/>
      <c r="I111" s="49"/>
      <c r="J111" s="49"/>
      <c r="K111" s="49"/>
      <c r="L111" s="49"/>
      <c r="M111" s="49"/>
      <c r="N111" s="49"/>
      <c r="O111" s="49"/>
      <c r="P111" s="49" t="s">
        <v>57</v>
      </c>
    </row>
  </sheetData>
  <mergeCells count="4">
    <mergeCell ref="B89:B93"/>
    <mergeCell ref="I89:I93"/>
    <mergeCell ref="B101:B105"/>
    <mergeCell ref="I101:I1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Growth Factors</vt:lpstr>
      <vt:lpstr>Inputs</vt:lpstr>
      <vt:lpstr>Sheet1</vt:lpstr>
      <vt:lpstr>Compact DCF</vt:lpstr>
      <vt:lpstr>Compact DCF on Actuals</vt:lpstr>
      <vt:lpstr>Growth Factors out of sample</vt:lpstr>
      <vt:lpstr>Inputs out of sample</vt:lpstr>
      <vt:lpstr>Compact DCF out of 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Tabellini</dc:creator>
  <cp:lastModifiedBy>Erick Tabellini</cp:lastModifiedBy>
  <dcterms:created xsi:type="dcterms:W3CDTF">2015-06-05T18:17:20Z</dcterms:created>
  <dcterms:modified xsi:type="dcterms:W3CDTF">2026-01-01T22:17:47Z</dcterms:modified>
</cp:coreProperties>
</file>