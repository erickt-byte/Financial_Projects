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rick\Documents\University of Luxembourg\Master First year\Second Semester\Financial Analysis\Assignment\"/>
    </mc:Choice>
  </mc:AlternateContent>
  <xr:revisionPtr revIDLastSave="0" documentId="13_ncr:1_{DEF87009-0409-447B-8498-8A729F6A418E}" xr6:coauthVersionLast="47" xr6:coauthVersionMax="47" xr10:uidLastSave="{00000000-0000-0000-0000-000000000000}"/>
  <bookViews>
    <workbookView xWindow="-98" yWindow="-98" windowWidth="21795" windowHeight="13695" activeTab="3" xr2:uid="{00000000-000D-0000-FFFF-FFFF00000000}"/>
  </bookViews>
  <sheets>
    <sheet name="Cover Page" sheetId="1" r:id="rId1"/>
    <sheet name="Outputs" sheetId="2" r:id="rId2"/>
    <sheet name="Inputs" sheetId="3" r:id="rId3"/>
    <sheet name="Mod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3" l="1"/>
  <c r="F71" i="3"/>
  <c r="L72" i="3"/>
  <c r="L86" i="3" s="1"/>
  <c r="F72" i="3"/>
  <c r="F70" i="3"/>
  <c r="L57" i="3"/>
  <c r="I58" i="3"/>
  <c r="I57" i="3"/>
  <c r="K64" i="3"/>
  <c r="H64" i="3"/>
  <c r="K63" i="3"/>
  <c r="H63" i="3"/>
  <c r="J61" i="3"/>
  <c r="I61" i="3"/>
  <c r="L61" i="3" s="1"/>
  <c r="J60" i="3"/>
  <c r="I60" i="3"/>
  <c r="L60" i="3" s="1"/>
  <c r="J59" i="3"/>
  <c r="I59" i="3"/>
  <c r="L59" i="3" s="1"/>
  <c r="J58" i="3"/>
  <c r="L58" i="3"/>
  <c r="J57" i="3"/>
  <c r="J64" i="3" l="1"/>
  <c r="J63" i="3"/>
  <c r="I63" i="3"/>
  <c r="L63" i="3"/>
  <c r="L70" i="3" s="1"/>
  <c r="I64" i="3"/>
  <c r="L64" i="3" l="1"/>
  <c r="N279" i="4" l="1"/>
  <c r="M279" i="4"/>
  <c r="L279" i="4"/>
  <c r="K279" i="4"/>
  <c r="J279" i="4"/>
  <c r="I279" i="4"/>
  <c r="H38" i="4"/>
  <c r="G38" i="4"/>
  <c r="F38" i="4"/>
  <c r="D106" i="4"/>
  <c r="D112" i="4"/>
  <c r="N16" i="1" l="1"/>
  <c r="N15" i="1"/>
  <c r="F67" i="2" l="1"/>
  <c r="O56" i="2"/>
  <c r="C349" i="4" s="1"/>
  <c r="O60" i="2"/>
  <c r="O59" i="2"/>
  <c r="F23" i="2"/>
  <c r="E23" i="2" s="1"/>
  <c r="D23" i="2" s="1"/>
  <c r="D151" i="4"/>
  <c r="C35" i="4"/>
  <c r="D180" i="4"/>
  <c r="D222" i="4" s="1"/>
  <c r="C34" i="4"/>
  <c r="I51" i="4" s="1"/>
  <c r="O16" i="2"/>
  <c r="O15" i="2"/>
  <c r="O12" i="2"/>
  <c r="C302" i="4" s="1"/>
  <c r="G23" i="2" l="1"/>
  <c r="H23" i="2" s="1"/>
  <c r="D7" i="3" l="1"/>
  <c r="D113" i="4"/>
  <c r="D150" i="4"/>
  <c r="J51" i="4"/>
  <c r="K51" i="4" s="1"/>
  <c r="L51" i="4" s="1"/>
  <c r="M51" i="4" s="1"/>
  <c r="N51" i="4" s="1"/>
  <c r="E67" i="2"/>
  <c r="D67" i="2" s="1"/>
  <c r="D60" i="2"/>
  <c r="D59" i="2"/>
  <c r="D58" i="2"/>
  <c r="F36" i="2"/>
  <c r="N36" i="2" s="1"/>
  <c r="I107" i="4" l="1"/>
  <c r="G67" i="2"/>
  <c r="H67" i="2" s="1"/>
  <c r="N67" i="2"/>
  <c r="N23" i="2"/>
  <c r="F80" i="2"/>
  <c r="N80" i="2" s="1"/>
  <c r="J107" i="4" l="1"/>
  <c r="K107" i="4" s="1"/>
  <c r="O67" i="2"/>
  <c r="G80" i="2"/>
  <c r="O80" i="2" s="1"/>
  <c r="E36" i="2"/>
  <c r="M36" i="2" s="1"/>
  <c r="M23" i="2"/>
  <c r="O23" i="2"/>
  <c r="G36" i="2"/>
  <c r="O36" i="2" s="1"/>
  <c r="H80" i="2"/>
  <c r="P80" i="2" s="1"/>
  <c r="P67" i="2"/>
  <c r="M67" i="2"/>
  <c r="E80" i="2"/>
  <c r="M80" i="2" s="1"/>
  <c r="D80" i="2" l="1"/>
  <c r="L80" i="2" s="1"/>
  <c r="L67" i="2"/>
  <c r="P23" i="2"/>
  <c r="H36" i="2"/>
  <c r="P36" i="2" s="1"/>
  <c r="D36" i="2"/>
  <c r="L36" i="2" s="1"/>
  <c r="L23" i="2"/>
  <c r="M383" i="4" l="1"/>
  <c r="M336" i="4"/>
  <c r="I303" i="4"/>
  <c r="I302" i="4"/>
  <c r="H302" i="4"/>
  <c r="H303" i="4" s="1"/>
  <c r="I350" i="4"/>
  <c r="I349" i="4"/>
  <c r="H349" i="4"/>
  <c r="N282" i="4"/>
  <c r="M282" i="4"/>
  <c r="L282" i="4"/>
  <c r="K282" i="4"/>
  <c r="J282" i="4"/>
  <c r="I282" i="4"/>
  <c r="G264" i="4"/>
  <c r="I314" i="4" l="1"/>
  <c r="I317" i="4" s="1"/>
  <c r="I321" i="4"/>
  <c r="N55" i="4"/>
  <c r="H165" i="4" l="1"/>
  <c r="H199" i="4"/>
  <c r="I196" i="4" s="1"/>
  <c r="I162" i="4"/>
  <c r="I121" i="4"/>
  <c r="I120" i="4"/>
  <c r="J121" i="4" s="1"/>
  <c r="I119" i="4"/>
  <c r="J120" i="4" s="1"/>
  <c r="K121" i="4" s="1"/>
  <c r="I118" i="4"/>
  <c r="J119" i="4" s="1"/>
  <c r="K120" i="4" s="1"/>
  <c r="L121" i="4" s="1"/>
  <c r="G121" i="4"/>
  <c r="G120" i="4"/>
  <c r="G119" i="4"/>
  <c r="G118" i="4"/>
  <c r="G117" i="4"/>
  <c r="I113" i="4"/>
  <c r="D107" i="4"/>
  <c r="L98" i="3"/>
  <c r="H86" i="4"/>
  <c r="G86" i="4"/>
  <c r="F86" i="4"/>
  <c r="N75" i="4"/>
  <c r="M75" i="4"/>
  <c r="L75" i="4"/>
  <c r="K75" i="4"/>
  <c r="J75" i="4"/>
  <c r="N74" i="4"/>
  <c r="M74" i="4"/>
  <c r="L74" i="4"/>
  <c r="K74" i="4"/>
  <c r="J74" i="4"/>
  <c r="N73" i="4"/>
  <c r="M73" i="4"/>
  <c r="L73" i="4"/>
  <c r="K73" i="4"/>
  <c r="J73" i="4"/>
  <c r="I75" i="4"/>
  <c r="I74" i="4"/>
  <c r="I73" i="4"/>
  <c r="N32" i="4"/>
  <c r="M32" i="4"/>
  <c r="L32" i="4"/>
  <c r="K32" i="4"/>
  <c r="J32" i="4"/>
  <c r="I32" i="4"/>
  <c r="H158" i="4" l="1"/>
  <c r="I155" i="4" s="1"/>
  <c r="I133" i="4"/>
  <c r="I117" i="4"/>
  <c r="J113" i="4"/>
  <c r="O14" i="2"/>
  <c r="O58" i="2"/>
  <c r="H336" i="4"/>
  <c r="H383" i="4"/>
  <c r="J133" i="4"/>
  <c r="J118" i="4"/>
  <c r="F83" i="2" l="1"/>
  <c r="N70" i="2" s="1"/>
  <c r="N83" i="2" s="1"/>
  <c r="G82" i="2"/>
  <c r="O69" i="2" s="1"/>
  <c r="O82" i="2" s="1"/>
  <c r="D85" i="2"/>
  <c r="L72" i="2" s="1"/>
  <c r="L85" i="2" s="1"/>
  <c r="H84" i="2"/>
  <c r="P71" i="2" s="1"/>
  <c r="P84" i="2" s="1"/>
  <c r="E81" i="2"/>
  <c r="M68" i="2" s="1"/>
  <c r="M81" i="2" s="1"/>
  <c r="D81" i="2"/>
  <c r="L68" i="2" s="1"/>
  <c r="L81" i="2" s="1"/>
  <c r="E83" i="2"/>
  <c r="M70" i="2" s="1"/>
  <c r="M83" i="2" s="1"/>
  <c r="H82" i="2"/>
  <c r="P69" i="2" s="1"/>
  <c r="P82" i="2" s="1"/>
  <c r="E85" i="2"/>
  <c r="M72" i="2" s="1"/>
  <c r="M85" i="2" s="1"/>
  <c r="H81" i="2"/>
  <c r="P68" i="2" s="1"/>
  <c r="P81" i="2" s="1"/>
  <c r="G81" i="2"/>
  <c r="O68" i="2" s="1"/>
  <c r="O81" i="2" s="1"/>
  <c r="G84" i="2"/>
  <c r="O71" i="2" s="1"/>
  <c r="O84" i="2" s="1"/>
  <c r="E84" i="2"/>
  <c r="M71" i="2" s="1"/>
  <c r="M84" i="2" s="1"/>
  <c r="H83" i="2"/>
  <c r="P70" i="2" s="1"/>
  <c r="P83" i="2" s="1"/>
  <c r="G83" i="2"/>
  <c r="O70" i="2" s="1"/>
  <c r="O83" i="2" s="1"/>
  <c r="D83" i="2"/>
  <c r="L70" i="2" s="1"/>
  <c r="L83" i="2" s="1"/>
  <c r="G85" i="2"/>
  <c r="O72" i="2" s="1"/>
  <c r="O85" i="2" s="1"/>
  <c r="E82" i="2"/>
  <c r="M69" i="2" s="1"/>
  <c r="M82" i="2" s="1"/>
  <c r="F85" i="2"/>
  <c r="N72" i="2" s="1"/>
  <c r="N85" i="2" s="1"/>
  <c r="D82" i="2"/>
  <c r="L69" i="2" s="1"/>
  <c r="L82" i="2" s="1"/>
  <c r="H85" i="2"/>
  <c r="P72" i="2" s="1"/>
  <c r="P85" i="2" s="1"/>
  <c r="F81" i="2"/>
  <c r="N68" i="2" s="1"/>
  <c r="N81" i="2" s="1"/>
  <c r="D84" i="2"/>
  <c r="L71" i="2" s="1"/>
  <c r="L84" i="2" s="1"/>
  <c r="F82" i="2"/>
  <c r="N69" i="2" s="1"/>
  <c r="N82" i="2" s="1"/>
  <c r="F84" i="2"/>
  <c r="N71" i="2" s="1"/>
  <c r="N84" i="2" s="1"/>
  <c r="G60" i="2"/>
  <c r="H60" i="2" s="1"/>
  <c r="G58" i="2"/>
  <c r="H58" i="2" s="1"/>
  <c r="G59" i="2"/>
  <c r="H59" i="2" s="1"/>
  <c r="G41" i="2"/>
  <c r="O28" i="2" s="1"/>
  <c r="O41" i="2" s="1"/>
  <c r="F38" i="2"/>
  <c r="N25" i="2" s="1"/>
  <c r="N38" i="2" s="1"/>
  <c r="F41" i="2"/>
  <c r="N28" i="2" s="1"/>
  <c r="N41" i="2" s="1"/>
  <c r="E38" i="2"/>
  <c r="M25" i="2" s="1"/>
  <c r="M38" i="2" s="1"/>
  <c r="E41" i="2"/>
  <c r="M28" i="2" s="1"/>
  <c r="M41" i="2" s="1"/>
  <c r="D38" i="2"/>
  <c r="L25" i="2" s="1"/>
  <c r="L38" i="2" s="1"/>
  <c r="D41" i="2"/>
  <c r="L28" i="2" s="1"/>
  <c r="L41" i="2" s="1"/>
  <c r="H37" i="2"/>
  <c r="P24" i="2" s="1"/>
  <c r="P37" i="2" s="1"/>
  <c r="H39" i="2"/>
  <c r="P26" i="2" s="1"/>
  <c r="P39" i="2" s="1"/>
  <c r="G16" i="2"/>
  <c r="H16" i="2" s="1"/>
  <c r="F39" i="2"/>
  <c r="N26" i="2" s="1"/>
  <c r="N39" i="2" s="1"/>
  <c r="G14" i="2"/>
  <c r="H14" i="2" s="1"/>
  <c r="E39" i="2"/>
  <c r="M26" i="2" s="1"/>
  <c r="M39" i="2" s="1"/>
  <c r="H40" i="2"/>
  <c r="P27" i="2" s="1"/>
  <c r="P40" i="2" s="1"/>
  <c r="G37" i="2"/>
  <c r="O24" i="2" s="1"/>
  <c r="O37" i="2" s="1"/>
  <c r="G40" i="2"/>
  <c r="O27" i="2" s="1"/>
  <c r="O40" i="2" s="1"/>
  <c r="F37" i="2"/>
  <c r="N24" i="2" s="1"/>
  <c r="N37" i="2" s="1"/>
  <c r="F40" i="2"/>
  <c r="N27" i="2" s="1"/>
  <c r="N40" i="2" s="1"/>
  <c r="E40" i="2"/>
  <c r="M27" i="2" s="1"/>
  <c r="M40" i="2" s="1"/>
  <c r="D37" i="2"/>
  <c r="L24" i="2" s="1"/>
  <c r="L37" i="2" s="1"/>
  <c r="D40" i="2"/>
  <c r="L27" i="2" s="1"/>
  <c r="L40" i="2" s="1"/>
  <c r="G39" i="2"/>
  <c r="O26" i="2" s="1"/>
  <c r="O39" i="2" s="1"/>
  <c r="G15" i="2"/>
  <c r="H15" i="2" s="1"/>
  <c r="E37" i="2"/>
  <c r="M24" i="2" s="1"/>
  <c r="M37" i="2" s="1"/>
  <c r="D39" i="2"/>
  <c r="L26" i="2" s="1"/>
  <c r="L39" i="2" s="1"/>
  <c r="H41" i="2"/>
  <c r="P28" i="2" s="1"/>
  <c r="P41" i="2" s="1"/>
  <c r="G38" i="2"/>
  <c r="O25" i="2" s="1"/>
  <c r="O38" i="2" s="1"/>
  <c r="H38" i="2"/>
  <c r="P25" i="2" s="1"/>
  <c r="P38" i="2" s="1"/>
  <c r="L107" i="4"/>
  <c r="L133" i="4" s="1"/>
  <c r="K133" i="4"/>
  <c r="K119" i="4"/>
  <c r="K113" i="4"/>
  <c r="J117" i="4"/>
  <c r="K118" i="4" l="1"/>
  <c r="L113" i="4"/>
  <c r="K117" i="4"/>
  <c r="L120" i="4"/>
  <c r="L118" i="4" l="1"/>
  <c r="M113" i="4"/>
  <c r="M117" i="4" s="1"/>
  <c r="L117" i="4"/>
  <c r="M121" i="4"/>
  <c r="L119" i="4"/>
  <c r="M118" i="4" l="1"/>
  <c r="M119" i="4"/>
  <c r="M120" i="4"/>
  <c r="I42" i="4" l="1"/>
  <c r="J42" i="4" s="1"/>
  <c r="K42" i="4" s="1"/>
  <c r="L42" i="4" s="1"/>
  <c r="M42" i="4" s="1"/>
  <c r="N42" i="4" s="1"/>
  <c r="L28" i="3" a="1"/>
  <c r="L28" i="3" s="1"/>
  <c r="N19" i="4" s="1"/>
  <c r="K28" i="3" a="1"/>
  <c r="K28" i="3" s="1"/>
  <c r="M19" i="4" s="1"/>
  <c r="J28" i="3" a="1"/>
  <c r="J28" i="3" s="1"/>
  <c r="L19" i="4" s="1"/>
  <c r="I28" i="3" a="1"/>
  <c r="I28" i="3" s="1"/>
  <c r="K19" i="4" s="1"/>
  <c r="H28" i="3" a="1"/>
  <c r="H28" i="3" s="1"/>
  <c r="J19" i="4" s="1"/>
  <c r="G28" i="3" a="1"/>
  <c r="G28" i="3" s="1"/>
  <c r="L22" i="3" a="1"/>
  <c r="L22" i="3" s="1"/>
  <c r="N15" i="4" s="1"/>
  <c r="K22" i="3" a="1"/>
  <c r="K22" i="3" s="1"/>
  <c r="M15" i="4" s="1"/>
  <c r="J22" i="3" a="1"/>
  <c r="J22" i="3" s="1"/>
  <c r="L15" i="4" s="1"/>
  <c r="I22" i="3" a="1"/>
  <c r="I22" i="3" s="1"/>
  <c r="K15" i="4" s="1"/>
  <c r="H22" i="3" a="1"/>
  <c r="H22" i="3" s="1"/>
  <c r="J15" i="4" s="1"/>
  <c r="G22" i="3" a="1"/>
  <c r="G22" i="3" s="1"/>
  <c r="L16" i="3" a="1"/>
  <c r="L16" i="3" s="1"/>
  <c r="N11" i="4" s="1"/>
  <c r="K16" i="3" a="1"/>
  <c r="K16" i="3" s="1"/>
  <c r="M11" i="4" s="1"/>
  <c r="J16" i="3" a="1"/>
  <c r="J16" i="3" s="1"/>
  <c r="L11" i="4" s="1"/>
  <c r="I16" i="3" a="1"/>
  <c r="I16" i="3" s="1"/>
  <c r="K11" i="4" s="1"/>
  <c r="H16" i="3" a="1"/>
  <c r="H16" i="3" s="1"/>
  <c r="J11" i="4" s="1"/>
  <c r="G16" i="3" a="1"/>
  <c r="G16" i="3" s="1"/>
  <c r="H19" i="4"/>
  <c r="H11" i="4"/>
  <c r="G24" i="4"/>
  <c r="H24" i="4"/>
  <c r="F24" i="4"/>
  <c r="F37" i="4" s="1"/>
  <c r="F68" i="4" s="1"/>
  <c r="G19" i="4"/>
  <c r="H15" i="4"/>
  <c r="H37" i="4" s="1"/>
  <c r="H68" i="4" s="1"/>
  <c r="G15" i="4"/>
  <c r="G37" i="4" s="1"/>
  <c r="G68" i="4" s="1"/>
  <c r="G11" i="4"/>
  <c r="H7" i="4"/>
  <c r="G7" i="4"/>
  <c r="G5" i="4"/>
  <c r="H5" i="4" s="1"/>
  <c r="F79" i="4"/>
  <c r="F85" i="4" s="1"/>
  <c r="F87" i="4" s="1"/>
  <c r="G79" i="4"/>
  <c r="G85" i="4" s="1"/>
  <c r="G87" i="4" s="1"/>
  <c r="H79" i="4"/>
  <c r="H85" i="4" s="1"/>
  <c r="H87" i="4" s="1"/>
  <c r="N64" i="4"/>
  <c r="G56" i="4"/>
  <c r="H56" i="4"/>
  <c r="F56" i="4"/>
  <c r="F51" i="4"/>
  <c r="H51" i="4"/>
  <c r="G51" i="4"/>
  <c r="F69" i="4"/>
  <c r="G69" i="4"/>
  <c r="B217" i="4" a="1"/>
  <c r="B217" i="4" s="1"/>
  <c r="B259" i="4" s="1"/>
  <c r="B300" i="4" s="1"/>
  <c r="B347" i="4" s="1"/>
  <c r="H90" i="4" l="1"/>
  <c r="I5" i="4"/>
  <c r="J5" i="4" s="1"/>
  <c r="K5" i="4" s="1"/>
  <c r="L5" i="4" s="1"/>
  <c r="M5" i="4" s="1"/>
  <c r="N14" i="2"/>
  <c r="N58" i="2" s="1"/>
  <c r="G90" i="4"/>
  <c r="I19" i="4"/>
  <c r="I21" i="4" s="1"/>
  <c r="J21" i="4" s="1"/>
  <c r="K21" i="4" s="1"/>
  <c r="L21" i="4" s="1"/>
  <c r="M21" i="4" s="1"/>
  <c r="N21" i="4" s="1"/>
  <c r="I11" i="4"/>
  <c r="I13" i="4" s="1"/>
  <c r="J13" i="4" s="1"/>
  <c r="K13" i="4" s="1"/>
  <c r="L13" i="4" s="1"/>
  <c r="M13" i="4" s="1"/>
  <c r="N13" i="4" s="1"/>
  <c r="I15" i="4"/>
  <c r="I17" i="4" s="1"/>
  <c r="J17" i="4" s="1"/>
  <c r="K17" i="4" s="1"/>
  <c r="L17" i="4" s="1"/>
  <c r="M17" i="4" s="1"/>
  <c r="N17" i="4" s="1"/>
  <c r="H39" i="4"/>
  <c r="H44" i="4" s="1"/>
  <c r="H49" i="4" s="1"/>
  <c r="G39" i="4"/>
  <c r="G44" i="4" s="1"/>
  <c r="G49" i="4" s="1"/>
  <c r="F73" i="4"/>
  <c r="H73" i="4"/>
  <c r="F39" i="4"/>
  <c r="F44" i="4" s="1"/>
  <c r="F49" i="4" s="1"/>
  <c r="G73" i="4"/>
  <c r="G74" i="4"/>
  <c r="G75" i="4"/>
  <c r="F75" i="4"/>
  <c r="F74" i="4"/>
  <c r="H69" i="4"/>
  <c r="H52" i="4" l="1"/>
  <c r="H58" i="4" s="1"/>
  <c r="G52" i="4"/>
  <c r="G58" i="4" s="1"/>
  <c r="F52" i="4"/>
  <c r="F58" i="4" s="1"/>
  <c r="H74" i="4"/>
  <c r="H75" i="4"/>
  <c r="F64" i="4" l="1"/>
  <c r="F99" i="4" s="1"/>
  <c r="G29" i="4"/>
  <c r="G64" i="4" s="1"/>
  <c r="G99" i="4" s="1"/>
  <c r="H372" i="4"/>
  <c r="H365" i="4"/>
  <c r="H358" i="4"/>
  <c r="J350" i="4"/>
  <c r="K350" i="4" s="1"/>
  <c r="L350" i="4" s="1"/>
  <c r="M350" i="4" s="1"/>
  <c r="N350" i="4" s="1"/>
  <c r="J349" i="4"/>
  <c r="J361" i="4" s="1"/>
  <c r="J364" i="4" s="1"/>
  <c r="H350" i="4"/>
  <c r="H325" i="4"/>
  <c r="H318" i="4"/>
  <c r="H311" i="4"/>
  <c r="J303" i="4"/>
  <c r="K303" i="4" s="1"/>
  <c r="L303" i="4" s="1"/>
  <c r="M303" i="4" s="1"/>
  <c r="N303" i="4" s="1"/>
  <c r="J302" i="4"/>
  <c r="K302" i="4" s="1"/>
  <c r="N281" i="4"/>
  <c r="H241" i="4"/>
  <c r="I238" i="4" s="1"/>
  <c r="J112" i="4"/>
  <c r="K112" i="4" s="1"/>
  <c r="L112" i="4" s="1"/>
  <c r="M112" i="4" s="1"/>
  <c r="J106" i="4"/>
  <c r="K106" i="4" s="1"/>
  <c r="L106" i="4" s="1"/>
  <c r="M106" i="4" s="1"/>
  <c r="G5" i="3"/>
  <c r="H97" i="3" s="1"/>
  <c r="F102" i="3"/>
  <c r="F103" i="3"/>
  <c r="D80" i="3"/>
  <c r="E79" i="3" s="1"/>
  <c r="L79" i="3"/>
  <c r="L10" i="3" a="1"/>
  <c r="L10" i="3" s="1"/>
  <c r="N7" i="4" s="1"/>
  <c r="K10" i="3" a="1"/>
  <c r="K10" i="3" s="1"/>
  <c r="M7" i="4" s="1"/>
  <c r="J10" i="3" a="1"/>
  <c r="J10" i="3" s="1"/>
  <c r="L7" i="4" s="1"/>
  <c r="I10" i="3" a="1"/>
  <c r="I10" i="3" s="1"/>
  <c r="K7" i="4" s="1"/>
  <c r="H10" i="3" a="1"/>
  <c r="H10" i="3" s="1"/>
  <c r="J7" i="4" s="1"/>
  <c r="G10" i="3" a="1"/>
  <c r="G10" i="3" s="1"/>
  <c r="I7" i="4" l="1"/>
  <c r="I9" i="4" s="1"/>
  <c r="I24" i="4" s="1"/>
  <c r="I37" i="4" s="1"/>
  <c r="H29" i="4"/>
  <c r="I361" i="4"/>
  <c r="I364" i="4" s="1"/>
  <c r="J321" i="4"/>
  <c r="K321" i="4" s="1"/>
  <c r="L321" i="4" s="1"/>
  <c r="M321" i="4" s="1"/>
  <c r="L302" i="4"/>
  <c r="K314" i="4"/>
  <c r="K317" i="4" s="1"/>
  <c r="I368" i="4"/>
  <c r="J368" i="4" s="1"/>
  <c r="K368" i="4" s="1"/>
  <c r="L368" i="4" s="1"/>
  <c r="M368" i="4" s="1"/>
  <c r="N368" i="4" s="1"/>
  <c r="J314" i="4"/>
  <c r="J317" i="4" s="1"/>
  <c r="K349" i="4"/>
  <c r="H5" i="3"/>
  <c r="I5" i="3" s="1"/>
  <c r="J5" i="3" s="1"/>
  <c r="K5" i="3" s="1"/>
  <c r="E78" i="3"/>
  <c r="F78" i="3" s="1"/>
  <c r="K85" i="3" s="1"/>
  <c r="G39" i="3" l="1"/>
  <c r="G38" i="3"/>
  <c r="G35" i="3" s="1" a="1"/>
  <c r="G35" i="3" s="1"/>
  <c r="I38" i="4"/>
  <c r="I69" i="4" s="1"/>
  <c r="G37" i="3"/>
  <c r="I68" i="4"/>
  <c r="I79" i="4" s="1"/>
  <c r="J9" i="4"/>
  <c r="J24" i="4" s="1"/>
  <c r="J37" i="4" s="1"/>
  <c r="H37" i="3" s="1"/>
  <c r="I29" i="4"/>
  <c r="H64" i="4"/>
  <c r="H99" i="4" s="1"/>
  <c r="M302" i="4"/>
  <c r="L314" i="4"/>
  <c r="L317" i="4" s="1"/>
  <c r="K361" i="4"/>
  <c r="K364" i="4" s="1"/>
  <c r="L349" i="4"/>
  <c r="E80" i="3"/>
  <c r="F80" i="3" s="1"/>
  <c r="F79" i="3" s="1"/>
  <c r="E82" i="3"/>
  <c r="K9" i="4" l="1"/>
  <c r="K24" i="4" s="1"/>
  <c r="K37" i="4" s="1"/>
  <c r="H38" i="3"/>
  <c r="H35" i="3" s="1" a="1"/>
  <c r="H35" i="3" s="1"/>
  <c r="J272" i="4" s="1"/>
  <c r="J284" i="4" s="1"/>
  <c r="J68" i="4"/>
  <c r="J79" i="4" s="1"/>
  <c r="J38" i="4"/>
  <c r="J69" i="4" s="1"/>
  <c r="J81" i="4" s="1"/>
  <c r="J86" i="4" s="1"/>
  <c r="H39" i="3"/>
  <c r="I39" i="4"/>
  <c r="I44" i="4" s="1"/>
  <c r="I270" i="4" s="1"/>
  <c r="I272" i="4"/>
  <c r="I284" i="4" s="1"/>
  <c r="I102" i="4"/>
  <c r="I148" i="4" s="1"/>
  <c r="I81" i="4"/>
  <c r="I86" i="4" s="1"/>
  <c r="I80" i="4"/>
  <c r="I85" i="4" s="1"/>
  <c r="L9" i="4"/>
  <c r="L24" i="4" s="1"/>
  <c r="L37" i="4" s="1"/>
  <c r="I37" i="3"/>
  <c r="I39" i="3"/>
  <c r="I38" i="3"/>
  <c r="I35" i="3" s="1" a="1"/>
  <c r="I35" i="3" s="1"/>
  <c r="K102" i="4" s="1"/>
  <c r="K148" i="4" s="1"/>
  <c r="J39" i="4"/>
  <c r="J44" i="4" s="1"/>
  <c r="K68" i="4"/>
  <c r="K79" i="4" s="1"/>
  <c r="K38" i="4"/>
  <c r="K69" i="4" s="1"/>
  <c r="B107" i="4"/>
  <c r="H145" i="4"/>
  <c r="H174" i="4" s="1"/>
  <c r="H216" i="4" s="1"/>
  <c r="J29" i="4"/>
  <c r="I64" i="4"/>
  <c r="I99" i="4" s="1"/>
  <c r="I116" i="4" s="1"/>
  <c r="M107" i="4"/>
  <c r="M349" i="4"/>
  <c r="L361" i="4"/>
  <c r="L364" i="4" s="1"/>
  <c r="N302" i="4"/>
  <c r="M314" i="4"/>
  <c r="F82" i="3"/>
  <c r="K86" i="3"/>
  <c r="L89" i="3" s="1"/>
  <c r="C70" i="2" s="1"/>
  <c r="J80" i="4" l="1"/>
  <c r="J85" i="4" s="1"/>
  <c r="J102" i="4"/>
  <c r="J148" i="4" s="1"/>
  <c r="M9" i="4"/>
  <c r="I87" i="4"/>
  <c r="I90" i="4" s="1"/>
  <c r="I273" i="4" s="1"/>
  <c r="I285" i="4" s="1"/>
  <c r="I163" i="4"/>
  <c r="I156" i="4"/>
  <c r="J37" i="3"/>
  <c r="J39" i="3"/>
  <c r="J38" i="3"/>
  <c r="J35" i="3" s="1" a="1"/>
  <c r="J35" i="3" s="1"/>
  <c r="L272" i="4" s="1"/>
  <c r="L284" i="4" s="1"/>
  <c r="K272" i="4"/>
  <c r="K284" i="4" s="1"/>
  <c r="J163" i="4"/>
  <c r="J156" i="4"/>
  <c r="K156" i="4"/>
  <c r="K163" i="4"/>
  <c r="O13" i="2"/>
  <c r="C303" i="4" s="1"/>
  <c r="C26" i="2"/>
  <c r="O57" i="2"/>
  <c r="F113" i="3"/>
  <c r="F114" i="3" s="1"/>
  <c r="N17" i="1" s="1"/>
  <c r="K39" i="4"/>
  <c r="K44" i="4" s="1"/>
  <c r="N9" i="4"/>
  <c r="N24" i="4" s="1"/>
  <c r="N37" i="4" s="1"/>
  <c r="M24" i="4"/>
  <c r="M37" i="4" s="1"/>
  <c r="K81" i="4"/>
  <c r="K86" i="4" s="1"/>
  <c r="K80" i="4"/>
  <c r="K85" i="4" s="1"/>
  <c r="J87" i="4"/>
  <c r="L68" i="4"/>
  <c r="L79" i="4" s="1"/>
  <c r="L38" i="4"/>
  <c r="L69" i="4" s="1"/>
  <c r="M133" i="4"/>
  <c r="I145" i="4"/>
  <c r="I174" i="4" s="1"/>
  <c r="I216" i="4" s="1"/>
  <c r="I258" i="4" s="1"/>
  <c r="F117" i="4"/>
  <c r="K29" i="4"/>
  <c r="J64" i="4"/>
  <c r="J99" i="4" s="1"/>
  <c r="N349" i="4"/>
  <c r="F358" i="4" s="1"/>
  <c r="M361" i="4"/>
  <c r="M364" i="4" s="1"/>
  <c r="I164" i="4" l="1"/>
  <c r="I165" i="4"/>
  <c r="J162" i="4" s="1"/>
  <c r="J164" i="4" s="1"/>
  <c r="L37" i="3"/>
  <c r="L39" i="3"/>
  <c r="K37" i="3"/>
  <c r="K39" i="3"/>
  <c r="L38" i="3"/>
  <c r="K38" i="3"/>
  <c r="K35" i="3" s="1" a="1"/>
  <c r="K35" i="3" s="1"/>
  <c r="M102" i="4" s="1"/>
  <c r="M148" i="4" s="1"/>
  <c r="L102" i="4"/>
  <c r="L148" i="4" s="1"/>
  <c r="L35" i="3" a="1"/>
  <c r="L35" i="3" s="1"/>
  <c r="N272" i="4" s="1"/>
  <c r="N284" i="4" s="1"/>
  <c r="L163" i="4"/>
  <c r="L156" i="4"/>
  <c r="C25" i="2"/>
  <c r="C27" i="2"/>
  <c r="C39" i="2"/>
  <c r="K39" i="2" s="1"/>
  <c r="K26" i="2"/>
  <c r="C350" i="4"/>
  <c r="I324" i="4"/>
  <c r="J324" i="4"/>
  <c r="K324" i="4"/>
  <c r="L324" i="4"/>
  <c r="L39" i="4"/>
  <c r="L44" i="4" s="1"/>
  <c r="J90" i="4"/>
  <c r="J273" i="4" s="1"/>
  <c r="J285" i="4" s="1"/>
  <c r="M38" i="4"/>
  <c r="M69" i="4" s="1"/>
  <c r="M68" i="4"/>
  <c r="M79" i="4" s="1"/>
  <c r="L81" i="4"/>
  <c r="L86" i="4" s="1"/>
  <c r="L80" i="4"/>
  <c r="L85" i="4" s="1"/>
  <c r="K87" i="4"/>
  <c r="K90" i="4" s="1"/>
  <c r="N68" i="4"/>
  <c r="N79" i="4" s="1"/>
  <c r="N38" i="4"/>
  <c r="N69" i="4" s="1"/>
  <c r="J145" i="4"/>
  <c r="J174" i="4" s="1"/>
  <c r="J216" i="4" s="1"/>
  <c r="J258" i="4" s="1"/>
  <c r="J116" i="4"/>
  <c r="L29" i="4"/>
  <c r="K64" i="4"/>
  <c r="K99" i="4" s="1"/>
  <c r="F125" i="4"/>
  <c r="F118" i="4"/>
  <c r="J270" i="4"/>
  <c r="N361" i="4"/>
  <c r="J187" i="4" l="1"/>
  <c r="J229" i="4"/>
  <c r="J165" i="4"/>
  <c r="K162" i="4" s="1"/>
  <c r="I229" i="4"/>
  <c r="I187" i="4"/>
  <c r="M272" i="4"/>
  <c r="M284" i="4" s="1"/>
  <c r="N48" i="4"/>
  <c r="M163" i="4"/>
  <c r="M156" i="4"/>
  <c r="C71" i="2"/>
  <c r="C69" i="2"/>
  <c r="K70" i="2"/>
  <c r="C83" i="2"/>
  <c r="K83" i="2" s="1"/>
  <c r="I371" i="4"/>
  <c r="J371" i="4"/>
  <c r="K371" i="4"/>
  <c r="L371" i="4"/>
  <c r="C28" i="2"/>
  <c r="C40" i="2"/>
  <c r="K40" i="2" s="1"/>
  <c r="K27" i="2"/>
  <c r="C24" i="2"/>
  <c r="K25" i="2"/>
  <c r="C38" i="2"/>
  <c r="K38" i="2" s="1"/>
  <c r="M371" i="4"/>
  <c r="L87" i="4"/>
  <c r="L90" i="4" s="1"/>
  <c r="N39" i="4"/>
  <c r="N44" i="4" s="1"/>
  <c r="M39" i="4"/>
  <c r="M44" i="4" s="1"/>
  <c r="N81" i="4"/>
  <c r="N86" i="4" s="1"/>
  <c r="N80" i="4"/>
  <c r="N85" i="4" s="1"/>
  <c r="M80" i="4"/>
  <c r="M85" i="4" s="1"/>
  <c r="M81" i="4"/>
  <c r="M86" i="4" s="1"/>
  <c r="K145" i="4"/>
  <c r="K174" i="4" s="1"/>
  <c r="K216" i="4" s="1"/>
  <c r="K258" i="4" s="1"/>
  <c r="K116" i="4"/>
  <c r="F126" i="4"/>
  <c r="F119" i="4"/>
  <c r="M29" i="4"/>
  <c r="L64" i="4"/>
  <c r="L99" i="4" s="1"/>
  <c r="K270" i="4"/>
  <c r="K273" i="4"/>
  <c r="K285" i="4" s="1"/>
  <c r="K164" i="4" l="1"/>
  <c r="K165" i="4"/>
  <c r="L162" i="4" s="1"/>
  <c r="N49" i="4"/>
  <c r="K24" i="2"/>
  <c r="C37" i="2"/>
  <c r="K37" i="2" s="1"/>
  <c r="C41" i="2"/>
  <c r="K41" i="2" s="1"/>
  <c r="K28" i="2"/>
  <c r="C68" i="2"/>
  <c r="C82" i="2"/>
  <c r="K82" i="2" s="1"/>
  <c r="K69" i="2"/>
  <c r="C72" i="2"/>
  <c r="K71" i="2"/>
  <c r="C84" i="2"/>
  <c r="K84" i="2" s="1"/>
  <c r="G126" i="4"/>
  <c r="H126" i="4" s="1"/>
  <c r="N87" i="4"/>
  <c r="M87" i="4"/>
  <c r="L145" i="4"/>
  <c r="L174" i="4" s="1"/>
  <c r="L216" i="4" s="1"/>
  <c r="L258" i="4" s="1"/>
  <c r="L116" i="4"/>
  <c r="M64" i="4"/>
  <c r="M99" i="4" s="1"/>
  <c r="G125" i="4" s="1"/>
  <c r="H125" i="4" s="1"/>
  <c r="I125" i="4" s="1"/>
  <c r="F127" i="4"/>
  <c r="F120" i="4"/>
  <c r="L270" i="4"/>
  <c r="L273" i="4"/>
  <c r="L285" i="4" s="1"/>
  <c r="L164" i="4" l="1"/>
  <c r="L165" i="4" s="1"/>
  <c r="M162" i="4" s="1"/>
  <c r="K187" i="4"/>
  <c r="K229" i="4"/>
  <c r="K125" i="4"/>
  <c r="K72" i="2"/>
  <c r="C85" i="2"/>
  <c r="K85" i="2" s="1"/>
  <c r="C81" i="2"/>
  <c r="K81" i="2" s="1"/>
  <c r="K68" i="2"/>
  <c r="N90" i="4"/>
  <c r="N273" i="4" s="1"/>
  <c r="N285" i="4" s="1"/>
  <c r="J125" i="4"/>
  <c r="M125" i="4"/>
  <c r="L125" i="4"/>
  <c r="L126" i="4"/>
  <c r="M126" i="4"/>
  <c r="J126" i="4"/>
  <c r="K126" i="4"/>
  <c r="I126" i="4"/>
  <c r="G127" i="4"/>
  <c r="H127" i="4" s="1"/>
  <c r="M90" i="4"/>
  <c r="M273" i="4" s="1"/>
  <c r="M285" i="4" s="1"/>
  <c r="M145" i="4"/>
  <c r="M174" i="4" s="1"/>
  <c r="M216" i="4" s="1"/>
  <c r="M258" i="4" s="1"/>
  <c r="M116" i="4"/>
  <c r="F128" i="4"/>
  <c r="G128" i="4" s="1"/>
  <c r="H128" i="4" s="1"/>
  <c r="F121" i="4"/>
  <c r="F129" i="4" s="1"/>
  <c r="G129" i="4" s="1"/>
  <c r="H129" i="4" s="1"/>
  <c r="M270" i="4"/>
  <c r="M164" i="4" l="1"/>
  <c r="M165" i="4" s="1"/>
  <c r="L187" i="4"/>
  <c r="L229" i="4"/>
  <c r="K127" i="4"/>
  <c r="I127" i="4"/>
  <c r="L127" i="4"/>
  <c r="M127" i="4"/>
  <c r="J127" i="4"/>
  <c r="M129" i="4"/>
  <c r="J129" i="4"/>
  <c r="L129" i="4"/>
  <c r="I129" i="4"/>
  <c r="K129" i="4"/>
  <c r="J128" i="4"/>
  <c r="L128" i="4"/>
  <c r="L134" i="4" s="1"/>
  <c r="L135" i="4" s="1"/>
  <c r="M128" i="4"/>
  <c r="M134" i="4" s="1"/>
  <c r="M135" i="4" s="1"/>
  <c r="I128" i="4"/>
  <c r="K128" i="4"/>
  <c r="N353" i="4"/>
  <c r="N357" i="4" s="1"/>
  <c r="N270" i="4"/>
  <c r="M229" i="4" l="1"/>
  <c r="M187" i="4"/>
  <c r="J134" i="4"/>
  <c r="J135" i="4" s="1"/>
  <c r="J48" i="4" s="1"/>
  <c r="J49" i="4" s="1"/>
  <c r="I134" i="4"/>
  <c r="I135" i="4" s="1"/>
  <c r="I48" i="4" s="1"/>
  <c r="I49" i="4" s="1"/>
  <c r="N364" i="4"/>
  <c r="N371" i="4" s="1"/>
  <c r="K134" i="4"/>
  <c r="K135" i="4" s="1"/>
  <c r="K48" i="4" s="1"/>
  <c r="K49" i="4" s="1"/>
  <c r="L157" i="4"/>
  <c r="L228" i="4" s="1"/>
  <c r="L48" i="4"/>
  <c r="L49" i="4" s="1"/>
  <c r="L186" i="4"/>
  <c r="M157" i="4"/>
  <c r="M228" i="4" s="1"/>
  <c r="M186" i="4"/>
  <c r="M48" i="4"/>
  <c r="M49" i="4" s="1"/>
  <c r="K157" i="4" l="1"/>
  <c r="K228" i="4" s="1"/>
  <c r="K186" i="4"/>
  <c r="I157" i="4"/>
  <c r="I228" i="4" s="1"/>
  <c r="I186" i="4"/>
  <c r="J186" i="4"/>
  <c r="M377" i="4"/>
  <c r="J157" i="4"/>
  <c r="J228" i="4" s="1"/>
  <c r="K280" i="4"/>
  <c r="J280" i="4"/>
  <c r="L280" i="4"/>
  <c r="M280" i="4"/>
  <c r="I158" i="4"/>
  <c r="J155" i="4" s="1"/>
  <c r="J158" i="4" s="1"/>
  <c r="K155" i="4" s="1"/>
  <c r="I280" i="4"/>
  <c r="K158" i="4" l="1"/>
  <c r="L155" i="4" s="1"/>
  <c r="L158" i="4" s="1"/>
  <c r="M155" i="4" s="1"/>
  <c r="M158" i="4" s="1"/>
  <c r="I52" i="4"/>
  <c r="I219" i="4"/>
  <c r="I227" i="4" s="1"/>
  <c r="M52" i="4"/>
  <c r="M177" i="4" s="1"/>
  <c r="M185" i="4" s="1"/>
  <c r="M219" i="4"/>
  <c r="M227" i="4" s="1"/>
  <c r="L52" i="4"/>
  <c r="L177" i="4" s="1"/>
  <c r="L185" i="4" s="1"/>
  <c r="L219" i="4"/>
  <c r="L227" i="4" s="1"/>
  <c r="J52" i="4"/>
  <c r="J177" i="4" s="1"/>
  <c r="J185" i="4" s="1"/>
  <c r="J219" i="4"/>
  <c r="J227" i="4" s="1"/>
  <c r="K219" i="4"/>
  <c r="K227" i="4" s="1"/>
  <c r="K52" i="4"/>
  <c r="K177" i="4" s="1"/>
  <c r="K185" i="4" s="1"/>
  <c r="N280" i="4"/>
  <c r="J206" i="4" l="1"/>
  <c r="J188" i="4"/>
  <c r="J197" i="4"/>
  <c r="N52" i="4"/>
  <c r="G262" i="4"/>
  <c r="N262" i="4" s="1"/>
  <c r="N271" i="4" s="1"/>
  <c r="N274" i="4" s="1"/>
  <c r="K188" i="4"/>
  <c r="K206" i="4"/>
  <c r="K197" i="4"/>
  <c r="K248" i="4"/>
  <c r="K230" i="4"/>
  <c r="K239" i="4"/>
  <c r="J248" i="4"/>
  <c r="J230" i="4"/>
  <c r="J239" i="4"/>
  <c r="L248" i="4"/>
  <c r="L239" i="4"/>
  <c r="L230" i="4"/>
  <c r="L206" i="4"/>
  <c r="L197" i="4"/>
  <c r="L188" i="4"/>
  <c r="M248" i="4"/>
  <c r="M230" i="4"/>
  <c r="M239" i="4"/>
  <c r="M206" i="4"/>
  <c r="M188" i="4"/>
  <c r="M197" i="4"/>
  <c r="I248" i="4"/>
  <c r="I230" i="4"/>
  <c r="I239" i="4"/>
  <c r="I177" i="4"/>
  <c r="I185" i="4" s="1"/>
  <c r="J220" i="4" l="1"/>
  <c r="J233" i="4"/>
  <c r="I206" i="4"/>
  <c r="I188" i="4"/>
  <c r="I197" i="4"/>
  <c r="I233" i="4"/>
  <c r="I220" i="4"/>
  <c r="I240" i="4" s="1"/>
  <c r="I234" i="4" s="1"/>
  <c r="I235" i="4" s="1"/>
  <c r="I246" i="4" s="1"/>
  <c r="I262" i="4" s="1"/>
  <c r="K191" i="4"/>
  <c r="K178" i="4"/>
  <c r="K220" i="4"/>
  <c r="K233" i="4"/>
  <c r="M233" i="4"/>
  <c r="M220" i="4"/>
  <c r="L191" i="4"/>
  <c r="L178" i="4"/>
  <c r="N54" i="4"/>
  <c r="N56" i="4" s="1"/>
  <c r="N58" i="4" s="1"/>
  <c r="N278" i="4" s="1"/>
  <c r="G263" i="4"/>
  <c r="N263" i="4" s="1"/>
  <c r="N264" i="4" s="1"/>
  <c r="N283" i="4" s="1"/>
  <c r="J191" i="4"/>
  <c r="J178" i="4"/>
  <c r="M191" i="4"/>
  <c r="M178" i="4"/>
  <c r="L233" i="4"/>
  <c r="L220" i="4"/>
  <c r="N286" i="4" l="1"/>
  <c r="N289" i="4" s="1"/>
  <c r="I271" i="4"/>
  <c r="I274" i="4" s="1"/>
  <c r="I178" i="4"/>
  <c r="I191" i="4"/>
  <c r="I247" i="4"/>
  <c r="I241" i="4"/>
  <c r="J238" i="4" s="1"/>
  <c r="N305" i="4" l="1"/>
  <c r="M310" i="4" s="1"/>
  <c r="M317" i="4" s="1"/>
  <c r="M324" i="4" s="1"/>
  <c r="M330" i="4" s="1"/>
  <c r="N352" i="4"/>
  <c r="N356" i="4" s="1"/>
  <c r="N358" i="4" s="1"/>
  <c r="I198" i="4"/>
  <c r="I192" i="4" s="1"/>
  <c r="I193" i="4" s="1"/>
  <c r="I204" i="4" s="1"/>
  <c r="I205" i="4" s="1"/>
  <c r="I55" i="4" s="1"/>
  <c r="I281" i="4" s="1"/>
  <c r="J240" i="4"/>
  <c r="J234" i="4" s="1"/>
  <c r="J235" i="4" s="1"/>
  <c r="J246" i="4" s="1"/>
  <c r="N363" i="4" l="1"/>
  <c r="N365" i="4" s="1"/>
  <c r="I199" i="4"/>
  <c r="J196" i="4" s="1"/>
  <c r="J198" i="4" s="1"/>
  <c r="J192" i="4" s="1"/>
  <c r="J193" i="4" s="1"/>
  <c r="J204" i="4" s="1"/>
  <c r="I263" i="4"/>
  <c r="I264" i="4" s="1"/>
  <c r="I283" i="4" s="1"/>
  <c r="I54" i="4"/>
  <c r="I56" i="4" s="1"/>
  <c r="I58" i="4" s="1"/>
  <c r="I278" i="4" s="1"/>
  <c r="J241" i="4"/>
  <c r="K238" i="4" s="1"/>
  <c r="J247" i="4"/>
  <c r="J262" i="4"/>
  <c r="J271" i="4" s="1"/>
  <c r="J274" i="4" s="1"/>
  <c r="N370" i="4" l="1"/>
  <c r="I286" i="4"/>
  <c r="I289" i="4" s="1"/>
  <c r="J54" i="4"/>
  <c r="J263" i="4"/>
  <c r="J264" i="4" s="1"/>
  <c r="J283" i="4" s="1"/>
  <c r="J205" i="4"/>
  <c r="J55" i="4" s="1"/>
  <c r="J281" i="4" s="1"/>
  <c r="J199" i="4"/>
  <c r="K196" i="4" s="1"/>
  <c r="K240" i="4"/>
  <c r="K234" i="4" s="1"/>
  <c r="K235" i="4" s="1"/>
  <c r="K246" i="4" s="1"/>
  <c r="I305" i="4" l="1"/>
  <c r="I309" i="4" s="1"/>
  <c r="I311" i="4" s="1"/>
  <c r="I352" i="4"/>
  <c r="I356" i="4" s="1"/>
  <c r="I358" i="4" s="1"/>
  <c r="K241" i="4"/>
  <c r="L238" i="4" s="1"/>
  <c r="L240" i="4" s="1"/>
  <c r="L234" i="4" s="1"/>
  <c r="L235" i="4" s="1"/>
  <c r="L246" i="4" s="1"/>
  <c r="K247" i="4"/>
  <c r="K262" i="4"/>
  <c r="K271" i="4" s="1"/>
  <c r="K274" i="4" s="1"/>
  <c r="K198" i="4"/>
  <c r="K192" i="4" s="1"/>
  <c r="K193" i="4" s="1"/>
  <c r="K204" i="4" s="1"/>
  <c r="J56" i="4"/>
  <c r="J58" i="4" s="1"/>
  <c r="J278" i="4" s="1"/>
  <c r="J286" i="4" s="1"/>
  <c r="I316" i="4" l="1"/>
  <c r="I323" i="4" s="1"/>
  <c r="I325" i="4" s="1"/>
  <c r="I363" i="4"/>
  <c r="L241" i="4"/>
  <c r="M238" i="4" s="1"/>
  <c r="M240" i="4" s="1"/>
  <c r="M234" i="4" s="1"/>
  <c r="M235" i="4" s="1"/>
  <c r="M246" i="4" s="1"/>
  <c r="K199" i="4"/>
  <c r="L196" i="4" s="1"/>
  <c r="L198" i="4" s="1"/>
  <c r="L192" i="4" s="1"/>
  <c r="L193" i="4" s="1"/>
  <c r="L204" i="4" s="1"/>
  <c r="J352" i="4"/>
  <c r="J356" i="4" s="1"/>
  <c r="J363" i="4" s="1"/>
  <c r="J370" i="4" s="1"/>
  <c r="J305" i="4"/>
  <c r="J309" i="4" s="1"/>
  <c r="J289" i="4"/>
  <c r="K54" i="4"/>
  <c r="K263" i="4"/>
  <c r="K264" i="4" s="1"/>
  <c r="K283" i="4" s="1"/>
  <c r="K205" i="4"/>
  <c r="K55" i="4" s="1"/>
  <c r="K281" i="4" s="1"/>
  <c r="L247" i="4"/>
  <c r="L262" i="4"/>
  <c r="L271" i="4" s="1"/>
  <c r="L274" i="4" s="1"/>
  <c r="I318" i="4" l="1"/>
  <c r="I365" i="4"/>
  <c r="I370" i="4"/>
  <c r="M241" i="4"/>
  <c r="D223" i="4" s="1"/>
  <c r="L199" i="4"/>
  <c r="M196" i="4" s="1"/>
  <c r="M198" i="4" s="1"/>
  <c r="M192" i="4" s="1"/>
  <c r="M193" i="4" s="1"/>
  <c r="M204" i="4" s="1"/>
  <c r="K56" i="4"/>
  <c r="K58" i="4" s="1"/>
  <c r="K278" i="4" s="1"/>
  <c r="K286" i="4" s="1"/>
  <c r="J316" i="4"/>
  <c r="J323" i="4" s="1"/>
  <c r="J325" i="4" s="1"/>
  <c r="J311" i="4"/>
  <c r="J358" i="4"/>
  <c r="M247" i="4"/>
  <c r="M262" i="4"/>
  <c r="M271" i="4" s="1"/>
  <c r="M274" i="4" s="1"/>
  <c r="L205" i="4"/>
  <c r="L55" i="4" s="1"/>
  <c r="L281" i="4" s="1"/>
  <c r="L54" i="4"/>
  <c r="L263" i="4"/>
  <c r="L264" i="4" s="1"/>
  <c r="L283" i="4" s="1"/>
  <c r="N19" i="1" l="1"/>
  <c r="L56" i="4"/>
  <c r="L58" i="4" s="1"/>
  <c r="L278" i="4" s="1"/>
  <c r="L286" i="4" s="1"/>
  <c r="K352" i="4"/>
  <c r="K356" i="4" s="1"/>
  <c r="K305" i="4"/>
  <c r="K309" i="4" s="1"/>
  <c r="K289" i="4"/>
  <c r="M205" i="4"/>
  <c r="M55" i="4" s="1"/>
  <c r="M281" i="4" s="1"/>
  <c r="M54" i="4"/>
  <c r="M263" i="4"/>
  <c r="M264" i="4" s="1"/>
  <c r="M283" i="4" s="1"/>
  <c r="J365" i="4"/>
  <c r="M199" i="4"/>
  <c r="D181" i="4" s="1"/>
  <c r="N18" i="1" s="1"/>
  <c r="J318" i="4"/>
  <c r="M56" i="4" l="1"/>
  <c r="M58" i="4" s="1"/>
  <c r="M278" i="4" s="1"/>
  <c r="M286" i="4" s="1"/>
  <c r="L305" i="4"/>
  <c r="L309" i="4" s="1"/>
  <c r="L352" i="4"/>
  <c r="L356" i="4" s="1"/>
  <c r="L289" i="4"/>
  <c r="K311" i="4"/>
  <c r="K316" i="4"/>
  <c r="K358" i="4"/>
  <c r="K363" i="4"/>
  <c r="K370" i="4" s="1"/>
  <c r="K323" i="4" l="1"/>
  <c r="K318" i="4"/>
  <c r="M352" i="4"/>
  <c r="M356" i="4" s="1"/>
  <c r="M305" i="4"/>
  <c r="M309" i="4" s="1"/>
  <c r="M289" i="4"/>
  <c r="N20" i="1" s="1"/>
  <c r="L358" i="4"/>
  <c r="L363" i="4"/>
  <c r="L370" i="4" s="1"/>
  <c r="K365" i="4"/>
  <c r="K372" i="4"/>
  <c r="L316" i="4"/>
  <c r="L311" i="4"/>
  <c r="I372" i="4"/>
  <c r="J372" i="4"/>
  <c r="N372" i="4"/>
  <c r="M311" i="4" l="1"/>
  <c r="M316" i="4"/>
  <c r="L323" i="4"/>
  <c r="L325" i="4" s="1"/>
  <c r="L318" i="4"/>
  <c r="L365" i="4"/>
  <c r="L372" i="4"/>
  <c r="M358" i="4"/>
  <c r="M363" i="4"/>
  <c r="M370" i="4" s="1"/>
  <c r="K325" i="4"/>
  <c r="M365" i="4" l="1"/>
  <c r="M323" i="4"/>
  <c r="M318" i="4"/>
  <c r="H330" i="4" s="1"/>
  <c r="C23" i="2" s="1"/>
  <c r="H377" i="4" l="1"/>
  <c r="C67" i="2" s="1"/>
  <c r="F13" i="2"/>
  <c r="H335" i="4"/>
  <c r="M325" i="4"/>
  <c r="H329" i="4" s="1"/>
  <c r="M329" i="4"/>
  <c r="M376" i="4"/>
  <c r="M378" i="4" s="1"/>
  <c r="M372" i="4"/>
  <c r="H376" i="4" s="1"/>
  <c r="F57" i="2" l="1"/>
  <c r="H382" i="4"/>
  <c r="H384" i="4" s="1"/>
  <c r="M382" i="4" s="1"/>
  <c r="M384" i="4" s="1"/>
  <c r="H337" i="4"/>
  <c r="M335" i="4" s="1"/>
  <c r="M337" i="4" s="1"/>
  <c r="L376" i="4"/>
  <c r="M331" i="4"/>
  <c r="L329" i="4" s="1"/>
  <c r="L331" i="4" l="1"/>
  <c r="L330" i="4"/>
  <c r="L378" i="4"/>
  <c r="L37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<sst xmlns="http://schemas.openxmlformats.org/spreadsheetml/2006/main" count="484" uniqueCount="251">
  <si>
    <t>DCF Valuation Modeling</t>
  </si>
  <si>
    <t>Table of Contents</t>
  </si>
  <si>
    <t>Outputs</t>
  </si>
  <si>
    <t>Incorrect Date Set for Valuation?</t>
  </si>
  <si>
    <t>Inputs</t>
  </si>
  <si>
    <t>Incorrect Date Set for First Cash Flow?</t>
  </si>
  <si>
    <t>Model</t>
  </si>
  <si>
    <t>Two UFCF Methods Different?</t>
  </si>
  <si>
    <t xml:space="preserve"> </t>
  </si>
  <si>
    <t>Drivers</t>
  </si>
  <si>
    <t>Term</t>
  </si>
  <si>
    <t>Driver Switch</t>
  </si>
  <si>
    <t>Best Case</t>
  </si>
  <si>
    <t>Base Case</t>
  </si>
  <si>
    <t>Worst Case</t>
  </si>
  <si>
    <t>Capital Expenditure</t>
  </si>
  <si>
    <t>Inflation Rate</t>
  </si>
  <si>
    <t>WACC</t>
  </si>
  <si>
    <t>Capital Structure</t>
  </si>
  <si>
    <t>Cost of Debt</t>
  </si>
  <si>
    <t>Current</t>
  </si>
  <si>
    <t>Target</t>
  </si>
  <si>
    <t>Pre-Tax Cost of Debt</t>
  </si>
  <si>
    <t>Total Debt</t>
  </si>
  <si>
    <t>Tax Rate</t>
  </si>
  <si>
    <t>Market Capitalization</t>
  </si>
  <si>
    <t>After-Tax Cost of Debt</t>
  </si>
  <si>
    <t>Total Capitalization</t>
  </si>
  <si>
    <t>Debt / Equity</t>
  </si>
  <si>
    <t>Weighted Average Cost of Capital</t>
  </si>
  <si>
    <t>Weight</t>
  </si>
  <si>
    <t>Cost</t>
  </si>
  <si>
    <t xml:space="preserve">Tax Rate is a 5-Year Average. </t>
  </si>
  <si>
    <t>Debt Capital</t>
  </si>
  <si>
    <t xml:space="preserve">Levered beta is based on 5-year monthly data. </t>
  </si>
  <si>
    <t>Equity Capital</t>
  </si>
  <si>
    <t xml:space="preserve">Unlevered Beta = Levered Beta / (1 + (1 - Tax Rate) × Debt-to-Equity) </t>
  </si>
  <si>
    <t xml:space="preserve">Levered Beta = Unlevered Beta x (1 + (1 - Tax rate) x (Debt-to-Equity)) </t>
  </si>
  <si>
    <t>Other Inputs</t>
  </si>
  <si>
    <t>All figures in USD thousands unless stated</t>
  </si>
  <si>
    <t>Dates</t>
  </si>
  <si>
    <t>Valuation Date</t>
  </si>
  <si>
    <t>(YY-MM-DD)</t>
  </si>
  <si>
    <t>Net Debt</t>
  </si>
  <si>
    <t>First Expected Cash Flow</t>
  </si>
  <si>
    <t>Property Plant &amp; Equipment</t>
  </si>
  <si>
    <t>First Fiscal Year End for Forecast</t>
  </si>
  <si>
    <t>Tax Basis for PP&amp;E</t>
  </si>
  <si>
    <t>First Year of Forecast</t>
  </si>
  <si>
    <t>(YYYY)</t>
  </si>
  <si>
    <t>Tax Losses</t>
  </si>
  <si>
    <t>Days in Period</t>
  </si>
  <si>
    <t>Valuation</t>
  </si>
  <si>
    <t>Shares Outstanding</t>
  </si>
  <si>
    <t>(FD 000)</t>
  </si>
  <si>
    <t>Projected Interest Expense</t>
  </si>
  <si>
    <t>Current Stock Price</t>
  </si>
  <si>
    <t>(US$/sh)</t>
  </si>
  <si>
    <t>First Year Tax Depreciation</t>
  </si>
  <si>
    <t>Terminal Growth Rate</t>
  </si>
  <si>
    <t>Blended Tax Depreciation Rate</t>
  </si>
  <si>
    <r>
      <t xml:space="preserve">Terminal EBITDA Multiple </t>
    </r>
    <r>
      <rPr>
        <vertAlign val="superscript"/>
        <sz val="10"/>
        <color theme="1"/>
        <rFont val="Open Sans"/>
        <family val="2"/>
      </rPr>
      <t>1</t>
    </r>
  </si>
  <si>
    <t>First Year Accounting Depreciation</t>
  </si>
  <si>
    <t>Weighted Average Cost of Capital (WACC)</t>
  </si>
  <si>
    <t>Useful Life: Existing Assets</t>
  </si>
  <si>
    <t>(Years)</t>
  </si>
  <si>
    <t>Terminal Growth Greater Than or Equal To WACC?</t>
  </si>
  <si>
    <t>Useful Life: New Assets</t>
  </si>
  <si>
    <t>Revenue</t>
  </si>
  <si>
    <t>Inflation</t>
  </si>
  <si>
    <t>Income Statement</t>
  </si>
  <si>
    <t>Interest Expense</t>
  </si>
  <si>
    <t>COGS</t>
  </si>
  <si>
    <t>Gross Profit</t>
  </si>
  <si>
    <t>SG&amp;A</t>
  </si>
  <si>
    <t>Other</t>
  </si>
  <si>
    <t>EBITDA</t>
  </si>
  <si>
    <t>Depreciation</t>
  </si>
  <si>
    <t>EBIT</t>
  </si>
  <si>
    <t>Interest</t>
  </si>
  <si>
    <t>EBT</t>
  </si>
  <si>
    <t>Current Tax</t>
  </si>
  <si>
    <t>Deferred Tax</t>
  </si>
  <si>
    <t>Total Tax</t>
  </si>
  <si>
    <t>Net Income</t>
  </si>
  <si>
    <t>Working Capital Schedule</t>
  </si>
  <si>
    <r>
      <t xml:space="preserve">AMOUNTS PER DAY </t>
    </r>
    <r>
      <rPr>
        <b/>
        <vertAlign val="superscript"/>
        <sz val="10"/>
        <color rgb="FF000000"/>
        <rFont val="Open Sans"/>
        <family val="2"/>
      </rPr>
      <t>1</t>
    </r>
  </si>
  <si>
    <t>Accounts Receivable</t>
  </si>
  <si>
    <t>(Days)</t>
  </si>
  <si>
    <t>Inventory</t>
  </si>
  <si>
    <t>Accounts Payable</t>
  </si>
  <si>
    <t>TOTAL AMOUNTS</t>
  </si>
  <si>
    <t>NET WORKING CAPITAL</t>
  </si>
  <si>
    <t>Current Assets</t>
  </si>
  <si>
    <t>Current Liabilities</t>
  </si>
  <si>
    <t>Net Working Capital</t>
  </si>
  <si>
    <t>Cash from Working Capital Items</t>
  </si>
  <si>
    <t xml:space="preserve">We have assumed working capital amounts per day in terminal year are equal to the previous year. </t>
  </si>
  <si>
    <t>Depreciation Schedule</t>
  </si>
  <si>
    <t xml:space="preserve">Capital Expenditure </t>
  </si>
  <si>
    <r>
      <t xml:space="preserve">EXISTING ASSET DEPRECIATION </t>
    </r>
    <r>
      <rPr>
        <b/>
        <vertAlign val="superscript"/>
        <sz val="10"/>
        <rFont val="Open Sans"/>
        <family val="2"/>
      </rPr>
      <t>1</t>
    </r>
  </si>
  <si>
    <t>Years</t>
  </si>
  <si>
    <t>Percent of Full Year</t>
  </si>
  <si>
    <r>
      <t xml:space="preserve">NEW ASSET DEPRECIATION </t>
    </r>
    <r>
      <rPr>
        <b/>
        <vertAlign val="superscript"/>
        <sz val="10"/>
        <rFont val="Open Sans"/>
        <family val="2"/>
      </rPr>
      <t>1</t>
    </r>
  </si>
  <si>
    <t>Year</t>
  </si>
  <si>
    <t>Life</t>
  </si>
  <si>
    <r>
      <t xml:space="preserve">TOTAL ASSET DEPRECIATION </t>
    </r>
    <r>
      <rPr>
        <b/>
        <vertAlign val="superscript"/>
        <sz val="9"/>
        <rFont val="Open Sans"/>
        <family val="2"/>
      </rPr>
      <t>2</t>
    </r>
  </si>
  <si>
    <t>Existing Assets</t>
  </si>
  <si>
    <t>New Assets</t>
  </si>
  <si>
    <t>Total Depreciation</t>
  </si>
  <si>
    <t xml:space="preserve">All PP&amp;E and capital expenditure is assumed depreciable (i.e. no land balance). </t>
  </si>
  <si>
    <t xml:space="preserve">This schedule calculates depreciation on a straight-line basis. </t>
  </si>
  <si>
    <t>Asset Schedule</t>
  </si>
  <si>
    <r>
      <t xml:space="preserve">PROPERTY PLANT &amp; EQUIPMENT </t>
    </r>
    <r>
      <rPr>
        <b/>
        <vertAlign val="superscript"/>
        <sz val="10"/>
        <rFont val="Open Sans"/>
        <family val="2"/>
      </rPr>
      <t>1</t>
    </r>
  </si>
  <si>
    <t>Beginning</t>
  </si>
  <si>
    <t>Accounting Depreciation</t>
  </si>
  <si>
    <t>Ending</t>
  </si>
  <si>
    <r>
      <t xml:space="preserve">TAX BASIS </t>
    </r>
    <r>
      <rPr>
        <b/>
        <vertAlign val="superscript"/>
        <sz val="10"/>
        <rFont val="Open Sans"/>
        <family val="2"/>
      </rPr>
      <t>1</t>
    </r>
  </si>
  <si>
    <t>Tax Depreciation</t>
  </si>
  <si>
    <t xml:space="preserve">Model assumes no dispositions that would impact the PP&amp;E or the Tax Basis. </t>
  </si>
  <si>
    <t>Income Tax Schedule (Levered)</t>
  </si>
  <si>
    <t>Earnings Before Tax (EBT)</t>
  </si>
  <si>
    <t>Profitable Before Taxes?</t>
  </si>
  <si>
    <t>Unused Tax Losses Remaining?</t>
  </si>
  <si>
    <t>ADJUSTMENT FOR DEPRECIATION</t>
  </si>
  <si>
    <t>Add: Accounting Depreciation</t>
  </si>
  <si>
    <t>Less: Tax Depreciation</t>
  </si>
  <si>
    <t>EBT After Adjustment</t>
  </si>
  <si>
    <r>
      <t xml:space="preserve">ADJUSTMENT FOR TAX LOSSES </t>
    </r>
    <r>
      <rPr>
        <b/>
        <vertAlign val="superscript"/>
        <sz val="10"/>
        <rFont val="Open Sans"/>
        <family val="2"/>
      </rPr>
      <t>1</t>
    </r>
  </si>
  <si>
    <r>
      <t xml:space="preserve">Less: Use of Tax Losses </t>
    </r>
    <r>
      <rPr>
        <vertAlign val="superscript"/>
        <sz val="9"/>
        <rFont val="Open Sans"/>
        <family val="2"/>
      </rPr>
      <t>2</t>
    </r>
  </si>
  <si>
    <t>Taxable Income</t>
  </si>
  <si>
    <t>TAX LOSSES</t>
  </si>
  <si>
    <t>Add: New Losses</t>
  </si>
  <si>
    <t>Less: Use of Tax Losses</t>
  </si>
  <si>
    <t>TAXES</t>
  </si>
  <si>
    <t>Current Taxes</t>
  </si>
  <si>
    <t>Deferred Taxes</t>
  </si>
  <si>
    <t>Total Taxes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</si>
  <si>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</si>
  <si>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</si>
  <si>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>Income Tax Schedule (Unlevered)</t>
  </si>
  <si>
    <t>Earnings Before Interest &amp; Tax (EBIT)</t>
  </si>
  <si>
    <t>EBIT After Adjustment</t>
  </si>
  <si>
    <t>Unlevered Free Cash Flow Schedule</t>
  </si>
  <si>
    <t>TAX SHIELD FROM INTEREST</t>
  </si>
  <si>
    <t>Line Item</t>
  </si>
  <si>
    <t>Current Taxes (Unlevered)</t>
  </si>
  <si>
    <t>Current Taxes (Levered)</t>
  </si>
  <si>
    <t>Total Tax Shield</t>
  </si>
  <si>
    <t>EBITDA METHOD</t>
  </si>
  <si>
    <t>Change in Working Capital</t>
  </si>
  <si>
    <t>Unlevered Free Cash Flow</t>
  </si>
  <si>
    <t>NET INCOME METHOD</t>
  </si>
  <si>
    <r>
      <t xml:space="preserve">Depreciation </t>
    </r>
    <r>
      <rPr>
        <vertAlign val="superscript"/>
        <sz val="9"/>
        <rFont val="Open Sans"/>
        <family val="2"/>
      </rPr>
      <t>1</t>
    </r>
  </si>
  <si>
    <r>
      <t xml:space="preserve">Deferred Tax </t>
    </r>
    <r>
      <rPr>
        <vertAlign val="superscript"/>
        <sz val="9"/>
        <rFont val="Open Sans"/>
        <family val="2"/>
      </rPr>
      <t>2</t>
    </r>
  </si>
  <si>
    <t>Tax Shield From Interest</t>
  </si>
  <si>
    <t xml:space="preserve">Capital expenditure has been set equal to depreciation in the terminal year. </t>
  </si>
  <si>
    <t xml:space="preserve">This schedule assumes no deferred taxes in the terminal year. </t>
  </si>
  <si>
    <t>Discounted Cash Flow Schedule: Perpetuity Method</t>
  </si>
  <si>
    <t>Discrete Forecast</t>
  </si>
  <si>
    <t>Terminal Growth</t>
  </si>
  <si>
    <t>Fiscal Year End</t>
  </si>
  <si>
    <t>Cash Flow Timing</t>
  </si>
  <si>
    <t>UNADJUSTED CASH FLOW</t>
  </si>
  <si>
    <t>Terminal Value</t>
  </si>
  <si>
    <t>Total Cash Flow</t>
  </si>
  <si>
    <t>ADJUSTED CASH FLOW</t>
  </si>
  <si>
    <t>Partial Period Adjustment</t>
  </si>
  <si>
    <t>DISCOUNTED CASH FLOW</t>
  </si>
  <si>
    <t>Years for Discounting</t>
  </si>
  <si>
    <t>ENTERPRISE VALUE</t>
  </si>
  <si>
    <t>Manual Method</t>
  </si>
  <si>
    <t>PV of Discrete</t>
  </si>
  <si>
    <r>
      <t xml:space="preserve">XNPV Function </t>
    </r>
    <r>
      <rPr>
        <vertAlign val="superscript"/>
        <sz val="9"/>
        <color rgb="FF000000"/>
        <rFont val="Open Sans"/>
        <family val="2"/>
      </rPr>
      <t>1</t>
    </r>
  </si>
  <si>
    <t>PV of Terminal</t>
  </si>
  <si>
    <t>Enterprise Value</t>
  </si>
  <si>
    <t>EQUITY VALUE</t>
  </si>
  <si>
    <t>EQUITY VALUE PER SHARE</t>
  </si>
  <si>
    <t>Equity Value</t>
  </si>
  <si>
    <t>Less: Net Debt</t>
  </si>
  <si>
    <t>($/sh)</t>
  </si>
  <si>
    <t xml:space="preserve">The Enterprise Value from the XNPV Function is slightly different due to treatment of leap years. </t>
  </si>
  <si>
    <t>Discounted Cash Flow Schedule: Multiple Method</t>
  </si>
  <si>
    <t>Terminal Multiple</t>
  </si>
  <si>
    <t>Terminal</t>
  </si>
  <si>
    <r>
      <t xml:space="preserve">Terminal Value </t>
    </r>
    <r>
      <rPr>
        <vertAlign val="superscript"/>
        <sz val="10"/>
        <rFont val="Open Sans"/>
        <family val="2"/>
      </rPr>
      <t>1</t>
    </r>
  </si>
  <si>
    <t>Adjustment</t>
  </si>
  <si>
    <r>
      <t xml:space="preserve">XNPV Function </t>
    </r>
    <r>
      <rPr>
        <vertAlign val="superscript"/>
        <sz val="9"/>
        <rFont val="Open Sans"/>
        <family val="2"/>
      </rPr>
      <t>2</t>
    </r>
  </si>
  <si>
    <t xml:space="preserve">We have applied an LTM multiple to the EBITDA at the end of the terminal year to calculate the Terminal Value. </t>
  </si>
  <si>
    <t xml:space="preserve">The Enterprise Value from the XNPV Function is slightly different from the Manual Method due to treatment of leap years. </t>
  </si>
  <si>
    <t>Working Capital</t>
  </si>
  <si>
    <t xml:space="preserve">Revenue Schedule </t>
  </si>
  <si>
    <t>Aerospace revenue</t>
  </si>
  <si>
    <t>Marine Systems revenue</t>
  </si>
  <si>
    <t>Combat Systems revenue</t>
  </si>
  <si>
    <t>Technologies Revenue</t>
  </si>
  <si>
    <t>Total Revenue</t>
  </si>
  <si>
    <t>Revenue Growth Aerospace</t>
  </si>
  <si>
    <t>Revenue Growth Marine Systems</t>
  </si>
  <si>
    <t xml:space="preserve">Revenue Growth Combat Systems </t>
  </si>
  <si>
    <t>Revenue Growth Technologies</t>
  </si>
  <si>
    <t>Aerospace revenue growth</t>
  </si>
  <si>
    <t>Marine Systems revenue growth</t>
  </si>
  <si>
    <t>Combat Systems revenue growth</t>
  </si>
  <si>
    <t>Technology revenue growth</t>
  </si>
  <si>
    <t>Dashboard: Perpetuity Method</t>
  </si>
  <si>
    <t>Model Drivers Set To</t>
  </si>
  <si>
    <r>
      <t xml:space="preserve">Main Outputs </t>
    </r>
    <r>
      <rPr>
        <b/>
        <vertAlign val="superscript"/>
        <sz val="10"/>
        <color theme="1"/>
        <rFont val="Open Sans"/>
        <family val="2"/>
      </rPr>
      <t>1</t>
    </r>
  </si>
  <si>
    <t>Selected Inputs</t>
  </si>
  <si>
    <t>Enterprise</t>
  </si>
  <si>
    <t>Equity</t>
  </si>
  <si>
    <t>Value</t>
  </si>
  <si>
    <t>Per Share</t>
  </si>
  <si>
    <r>
      <t xml:space="preserve">Enterprise Value </t>
    </r>
    <r>
      <rPr>
        <b/>
        <vertAlign val="superscript"/>
        <sz val="10"/>
        <color theme="1"/>
        <rFont val="Open Sans"/>
        <family val="2"/>
      </rPr>
      <t>1</t>
    </r>
  </si>
  <si>
    <t>Equity Value per Share</t>
  </si>
  <si>
    <t>Premium (Discount) to Stock Price</t>
  </si>
  <si>
    <t xml:space="preserve">These tables require the workbook calculation to be set to automatic to update. </t>
  </si>
  <si>
    <t>Dashboard: Multiple Method</t>
  </si>
  <si>
    <t>\</t>
  </si>
  <si>
    <t>Model Checks</t>
  </si>
  <si>
    <t>Terminal Growth Rate Greater Than or Equal To WACC?</t>
  </si>
  <si>
    <t>Unused Tax Losses Remaining? (Levered Schedule)</t>
  </si>
  <si>
    <t>Unused Tax Losses Remaining? (Unlevered Schedule)</t>
  </si>
  <si>
    <t xml:space="preserve">Amortization </t>
  </si>
  <si>
    <t>All figures in USD thousands</t>
  </si>
  <si>
    <t>Average</t>
  </si>
  <si>
    <t>Debt/</t>
  </si>
  <si>
    <t>Levered</t>
  </si>
  <si>
    <t>Unlevered</t>
  </si>
  <si>
    <t>Name</t>
  </si>
  <si>
    <t>Region</t>
  </si>
  <si>
    <t>Debt</t>
  </si>
  <si>
    <r>
      <t xml:space="preserve">Tax Rate </t>
    </r>
    <r>
      <rPr>
        <b/>
        <vertAlign val="superscript"/>
        <sz val="10"/>
        <color theme="1"/>
        <rFont val="Open Sans"/>
        <family val="2"/>
      </rPr>
      <t>1</t>
    </r>
  </si>
  <si>
    <t>Capital</t>
  </si>
  <si>
    <r>
      <t xml:space="preserve">Beta </t>
    </r>
    <r>
      <rPr>
        <b/>
        <vertAlign val="superscript"/>
        <sz val="10"/>
        <color theme="1"/>
        <rFont val="Open Sans"/>
        <family val="2"/>
      </rPr>
      <t>2</t>
    </r>
  </si>
  <si>
    <r>
      <t xml:space="preserve">Beta </t>
    </r>
    <r>
      <rPr>
        <b/>
        <vertAlign val="superscript"/>
        <sz val="10"/>
        <color theme="1"/>
        <rFont val="Open Sans"/>
        <family val="2"/>
      </rPr>
      <t>3</t>
    </r>
  </si>
  <si>
    <t>Median</t>
  </si>
  <si>
    <t>Risk Premium for Equity</t>
  </si>
  <si>
    <t>Cost of Equity</t>
  </si>
  <si>
    <t>Market Risk Premium</t>
  </si>
  <si>
    <t>Risk Free Rate</t>
  </si>
  <si>
    <t>Average Unlevered Beta</t>
  </si>
  <si>
    <t>Equity Risk Premium</t>
  </si>
  <si>
    <r>
      <t xml:space="preserve">Levered Beta </t>
    </r>
    <r>
      <rPr>
        <vertAlign val="superscript"/>
        <sz val="10"/>
        <color rgb="FF000000"/>
        <rFont val="Open Sans"/>
        <family val="2"/>
      </rPr>
      <t>4</t>
    </r>
  </si>
  <si>
    <t>Country Risk Premium</t>
  </si>
  <si>
    <t>Lockheed Martin</t>
  </si>
  <si>
    <t>Northrop Grumman</t>
  </si>
  <si>
    <t>Raytheon Technologies</t>
  </si>
  <si>
    <t>L3Harris Technologies</t>
  </si>
  <si>
    <t>Huntington Ingalls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</si>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</sst>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164" formatCode="_(#,##0_)_%;\(#,##0\)_%;_(&quot;–&quot;_)_%;_(@_)_%"/>
    <numFmt numFmtId="165" formatCode="&quot;Yes&quot;;&quot;ERROR&quot;;&quot;No&quot;;&quot;ERROR&quot;"/>
    <numFmt numFmtId="166" formatCode="0&quot;F&quot;"/>
    <numFmt numFmtId="167" formatCode="_(#,##0_);\(#,##0\);_(&quot;–&quot;_);_(@_)"/>
    <numFmt numFmtId="168" formatCode="_(#,##0.0%_);\(#,##0.0%\);_(&quot;–&quot;_)_%;_(@_)_%"/>
    <numFmt numFmtId="169" formatCode="[=1]&quot;☑️&quot;_);[=0]&quot;⬜&quot;_)"/>
    <numFmt numFmtId="170" formatCode="0&quot;A&quot;"/>
    <numFmt numFmtId="171" formatCode="0.0%"/>
    <numFmt numFmtId="172" formatCode="@\⁽\¹\⁾"/>
    <numFmt numFmtId="173" formatCode="@\⁽\²\⁾"/>
    <numFmt numFmtId="174" formatCode="@\⁽\³\⁾"/>
    <numFmt numFmtId="175" formatCode="@\⁽\⁴\⁾"/>
    <numFmt numFmtId="176" formatCode="_-* #,##0.00_-;\-* #,##0.00_-;_-* &quot;-&quot;??_-;_-@_-"/>
    <numFmt numFmtId="177" formatCode="_-* #,##0_-;\(#,##0\)_-;_-* &quot;-&quot;_-;_-@_-"/>
    <numFmt numFmtId="178" formatCode="yyyy/mm/dd_)"/>
    <numFmt numFmtId="179" formatCode="0000_)"/>
    <numFmt numFmtId="180" formatCode="&quot;Yes&quot;_);&quot;ERROR&quot;_);&quot;No&quot;_);&quot;ERROR&quot;_)"/>
    <numFmt numFmtId="181" formatCode="_(#,##0.00_);\(#,##0.00\);_(&quot;–&quot;_);_(@_)"/>
    <numFmt numFmtId="182" formatCode="_(#,##0%_);\(#,##0%\);_(&quot;–&quot;_)_%;_(@_)_%"/>
    <numFmt numFmtId="183" formatCode="_(0.0\x_);\(0.0\x\);_(&quot;–&quot;_);_(@_)"/>
    <numFmt numFmtId="184" formatCode="[=0]&quot;No&quot;_);[=1]&quot;Yes&quot;_)"/>
    <numFmt numFmtId="185" formatCode="#,##0_);\(#,##0\);\-"/>
    <numFmt numFmtId="186" formatCode="_-* #,##0_-;\-* #,##0_-;_-* &quot;-&quot;??_-;_-@_-"/>
    <numFmt numFmtId="187" formatCode="#,##0_);[Red]\(#,##0\);\-"/>
    <numFmt numFmtId="188" formatCode="0&quot;E&quot;"/>
    <numFmt numFmtId="189" formatCode="#,##0_)\⁽\⁹\⁾;\(#,##0\)\⁽\⁹\⁾"/>
    <numFmt numFmtId="190" formatCode="&quot;Yr&quot;\ 0_)"/>
    <numFmt numFmtId="191" formatCode="0&quot;F&quot;\ "/>
    <numFmt numFmtId="192" formatCode="#,##0.00_);\(#,##0.00\);\-"/>
    <numFmt numFmtId="193" formatCode="#,##0.0_);\(#,##0.0\);\-"/>
    <numFmt numFmtId="194" formatCode="[=1]&quot;Yes&quot;_);[=0]&quot;No&quot;_)"/>
    <numFmt numFmtId="195" formatCode="yy/mm/dd"/>
    <numFmt numFmtId="196" formatCode="_(0.0000\x_);\(0.0000\x\);_(&quot;–&quot;_);_(@_)"/>
    <numFmt numFmtId="197" formatCode="_(#,##0_)\⁽\¹\⁾;\(#,##0\)\⁽\¹\⁾;_(&quot;–&quot;_)\⁽\¹\⁾;_(@_)\⁽\¹\⁾"/>
    <numFmt numFmtId="198" formatCode="_(#,##0_)\⁽\²\⁾;\(#,##0\)\⁽\²\⁾;_(&quot;–&quot;_)\⁽\²\⁾;_(@_)\⁽\²\⁾"/>
  </numFmts>
  <fonts count="87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1"/>
      <name val="Open Sans"/>
      <family val="2"/>
    </font>
    <font>
      <sz val="11"/>
      <name val="Open Sans"/>
      <family val="2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u/>
      <sz val="10"/>
      <color theme="10"/>
      <name val="Arial"/>
      <family val="2"/>
    </font>
    <font>
      <sz val="12"/>
      <color rgb="FF000000"/>
      <name val="Open Sans"/>
      <family val="2"/>
    </font>
    <font>
      <sz val="12"/>
      <color rgb="FF002060"/>
      <name val="Open Sans"/>
      <family val="2"/>
    </font>
    <font>
      <sz val="11"/>
      <color rgb="FF000000"/>
      <name val="Open Sans"/>
      <family val="2"/>
    </font>
    <font>
      <b/>
      <sz val="11"/>
      <color rgb="FF000000"/>
      <name val="Open Sans"/>
      <family val="2"/>
    </font>
    <font>
      <sz val="10"/>
      <color rgb="FF000000"/>
      <name val="Open Sans"/>
      <family val="2"/>
    </font>
    <font>
      <u/>
      <sz val="12"/>
      <color rgb="FF0563C1"/>
      <name val="Open Sans"/>
      <family val="2"/>
    </font>
    <font>
      <b/>
      <sz val="12"/>
      <color rgb="FFFFFFFF"/>
      <name val="Open Sans"/>
      <family val="2"/>
    </font>
    <font>
      <sz val="11"/>
      <color rgb="FFFFFFFF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11"/>
      <color rgb="FF947131"/>
      <name val="Open Sans"/>
      <family val="2"/>
    </font>
    <font>
      <i/>
      <sz val="10"/>
      <color theme="1"/>
      <name val="Open Sans"/>
      <family val="2"/>
    </font>
    <font>
      <i/>
      <sz val="9"/>
      <name val="Open Sans"/>
      <family val="2"/>
    </font>
    <font>
      <sz val="10"/>
      <color rgb="FF3271D2"/>
      <name val="Open Sans"/>
      <family val="2"/>
    </font>
    <font>
      <sz val="11"/>
      <color theme="1"/>
      <name val="Arial Narrow"/>
      <family val="2"/>
    </font>
    <font>
      <sz val="8"/>
      <color rgb="FF947131"/>
      <name val="Open Sans"/>
      <family val="2"/>
    </font>
    <font>
      <b/>
      <sz val="10"/>
      <name val="Open Sans"/>
      <family val="2"/>
    </font>
    <font>
      <i/>
      <sz val="10"/>
      <color rgb="FF000000"/>
      <name val="Open Sans"/>
      <family val="2"/>
    </font>
    <font>
      <i/>
      <sz val="11"/>
      <color theme="1"/>
      <name val="Open Sans"/>
      <family val="2"/>
    </font>
    <font>
      <sz val="9"/>
      <color rgb="FF000000"/>
      <name val="Open Sans"/>
      <family val="2"/>
    </font>
    <font>
      <i/>
      <sz val="9"/>
      <color rgb="FF000000"/>
      <name val="Open Sans"/>
      <family val="2"/>
    </font>
    <font>
      <sz val="10"/>
      <name val="Open Sans"/>
      <family val="2"/>
    </font>
    <font>
      <i/>
      <sz val="9"/>
      <color theme="1"/>
      <name val="Open Sans"/>
      <family val="2"/>
    </font>
    <font>
      <b/>
      <sz val="14"/>
      <color rgb="FF3271D2"/>
      <name val="Open Sans"/>
      <family val="2"/>
    </font>
    <font>
      <sz val="10"/>
      <name val="Bookman"/>
      <family val="1"/>
    </font>
    <font>
      <i/>
      <sz val="8"/>
      <color theme="1"/>
      <name val="Open Sans"/>
      <family val="2"/>
    </font>
    <font>
      <i/>
      <sz val="8"/>
      <color rgb="FF000000"/>
      <name val="Open Sans"/>
      <family val="2"/>
    </font>
    <font>
      <i/>
      <sz val="11"/>
      <color rgb="FF000000"/>
      <name val="Open Sans"/>
      <family val="2"/>
    </font>
    <font>
      <vertAlign val="superscript"/>
      <sz val="10"/>
      <color theme="1"/>
      <name val="Open Sans"/>
      <family val="2"/>
    </font>
    <font>
      <b/>
      <i/>
      <sz val="10"/>
      <color rgb="FF3271D2"/>
      <name val="Open Sans"/>
      <family val="2"/>
    </font>
    <font>
      <sz val="14"/>
      <color theme="1"/>
      <name val="Open Sans"/>
      <family val="2"/>
    </font>
    <font>
      <sz val="14"/>
      <color rgb="FF000000"/>
      <name val="Open Sans"/>
      <family val="2"/>
    </font>
    <font>
      <i/>
      <sz val="8"/>
      <name val="Open Sans"/>
      <family val="2"/>
    </font>
    <font>
      <b/>
      <sz val="11"/>
      <color rgb="FF947131"/>
      <name val="Open Sans"/>
      <family val="2"/>
    </font>
    <font>
      <b/>
      <sz val="14"/>
      <color rgb="FF0000FF"/>
      <name val="Open Sans"/>
      <family val="2"/>
    </font>
    <font>
      <b/>
      <sz val="11"/>
      <name val="Open Sans"/>
      <family val="2"/>
    </font>
    <font>
      <b/>
      <sz val="10"/>
      <color rgb="FF0000FF"/>
      <name val="Open Sans"/>
      <family val="2"/>
    </font>
    <font>
      <b/>
      <vertAlign val="superscript"/>
      <sz val="10"/>
      <color rgb="FF000000"/>
      <name val="Open Sans"/>
      <family val="2"/>
    </font>
    <font>
      <sz val="10"/>
      <color rgb="FF0000FF"/>
      <name val="Open Sans"/>
      <family val="2"/>
    </font>
    <font>
      <sz val="9"/>
      <name val="Open Sans"/>
      <family val="2"/>
    </font>
    <font>
      <b/>
      <vertAlign val="superscript"/>
      <sz val="10"/>
      <name val="Open Sans"/>
      <family val="2"/>
    </font>
    <font>
      <i/>
      <sz val="10"/>
      <color rgb="FF3271D2"/>
      <name val="Open Sans"/>
      <family val="2"/>
    </font>
    <font>
      <b/>
      <vertAlign val="superscript"/>
      <sz val="9"/>
      <name val="Open Sans"/>
      <family val="2"/>
    </font>
    <font>
      <b/>
      <sz val="10"/>
      <color rgb="FFFFFFFF"/>
      <name val="Open Sans"/>
      <family val="2"/>
    </font>
    <font>
      <sz val="10"/>
      <color rgb="FFFA621C"/>
      <name val="Open Sans"/>
      <family val="2"/>
    </font>
    <font>
      <vertAlign val="superscript"/>
      <sz val="9"/>
      <name val="Open Sans"/>
      <family val="2"/>
    </font>
    <font>
      <i/>
      <sz val="10"/>
      <name val="Open Sans"/>
      <family val="2"/>
    </font>
    <font>
      <b/>
      <i/>
      <sz val="10"/>
      <color theme="0"/>
      <name val="Open Sans"/>
      <family val="2"/>
    </font>
    <font>
      <b/>
      <i/>
      <sz val="10"/>
      <name val="Open Sans"/>
      <family val="2"/>
    </font>
    <font>
      <b/>
      <sz val="9"/>
      <color rgb="FF000000"/>
      <name val="Open Sans"/>
      <family val="2"/>
    </font>
    <font>
      <sz val="8"/>
      <name val="Open Sans"/>
      <family val="2"/>
    </font>
    <font>
      <sz val="10"/>
      <color rgb="FFC32838"/>
      <name val="Open Sans"/>
      <family val="2"/>
    </font>
    <font>
      <vertAlign val="superscript"/>
      <sz val="9"/>
      <color rgb="FF000000"/>
      <name val="Open Sans"/>
      <family val="2"/>
    </font>
    <font>
      <vertAlign val="superscript"/>
      <sz val="10"/>
      <name val="Open Sans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4" tint="-0.249977111117893"/>
      <name val="Open Sans"/>
      <family val="2"/>
    </font>
    <font>
      <sz val="10"/>
      <color rgb="FFFF0000"/>
      <name val="Open Sans"/>
      <family val="2"/>
    </font>
    <font>
      <b/>
      <sz val="10"/>
      <color rgb="FF3271D2"/>
      <name val="Open Sans"/>
      <family val="2"/>
    </font>
    <font>
      <b/>
      <vertAlign val="superscript"/>
      <sz val="10"/>
      <color theme="1"/>
      <name val="Open Sans"/>
      <family val="2"/>
    </font>
    <font>
      <sz val="11"/>
      <color rgb="FFC32838"/>
      <name val="Open Sans"/>
      <family val="2"/>
    </font>
    <font>
      <b/>
      <sz val="10"/>
      <color rgb="FF555555"/>
      <name val="Open Sans"/>
      <family val="2"/>
    </font>
    <font>
      <sz val="14"/>
      <color rgb="FF555555"/>
      <name val="Open Sans"/>
      <family val="2"/>
    </font>
    <font>
      <sz val="11"/>
      <color rgb="FF555555"/>
      <name val="Open Sans"/>
      <family val="2"/>
    </font>
    <font>
      <sz val="11"/>
      <color theme="0"/>
      <name val="Open Sans"/>
      <family val="2"/>
    </font>
    <font>
      <sz val="10"/>
      <color rgb="FF947131"/>
      <name val="Open Sans"/>
      <family val="2"/>
    </font>
    <font>
      <i/>
      <sz val="10"/>
      <color rgb="FF947131"/>
      <name val="Open Sans"/>
      <family val="2"/>
    </font>
    <font>
      <b/>
      <sz val="12"/>
      <color rgb="FF947131"/>
      <name val="Open Sans"/>
      <family val="2"/>
    </font>
    <font>
      <b/>
      <sz val="11"/>
      <color rgb="FF3271D2"/>
      <name val="Open Sans"/>
      <family val="2"/>
    </font>
    <font>
      <b/>
      <sz val="10"/>
      <color rgb="FF947131"/>
      <name val="Open Sans"/>
      <family val="2"/>
    </font>
    <font>
      <vertAlign val="superscript"/>
      <sz val="10"/>
      <color rgb="FF000000"/>
      <name val="Open Sans"/>
      <family val="2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E7F2FF"/>
        <bgColor rgb="FF000000"/>
      </patternFill>
    </fill>
  </fills>
  <borders count="6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5598"/>
      </top>
      <bottom style="medium">
        <color rgb="FF005598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/>
      <diagonal/>
    </border>
    <border>
      <left/>
      <right/>
      <top/>
      <bottom style="medium">
        <color rgb="FF3271D2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947131"/>
      </left>
      <right/>
      <top style="thin">
        <color rgb="FF947131"/>
      </top>
      <bottom style="thin">
        <color rgb="FF947131"/>
      </bottom>
      <diagonal/>
    </border>
    <border>
      <left/>
      <right/>
      <top style="thin">
        <color rgb="FF947131"/>
      </top>
      <bottom style="thin">
        <color rgb="FF947131"/>
      </bottom>
      <diagonal/>
    </border>
    <border>
      <left/>
      <right style="thin">
        <color rgb="FF947131"/>
      </right>
      <top style="thin">
        <color rgb="FF947131"/>
      </top>
      <bottom style="thin">
        <color rgb="FF947131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medium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3271D2"/>
      </left>
      <right/>
      <top style="thin">
        <color rgb="FF3271D2"/>
      </top>
      <bottom/>
      <diagonal/>
    </border>
    <border>
      <left style="thin">
        <color rgb="FF3271D2"/>
      </left>
      <right style="thin">
        <color rgb="FF3271D2"/>
      </right>
      <top style="thin">
        <color rgb="FF3271D2"/>
      </top>
      <bottom/>
      <diagonal/>
    </border>
    <border>
      <left style="thin">
        <color rgb="FF3271D2"/>
      </left>
      <right/>
      <top/>
      <bottom/>
      <diagonal/>
    </border>
    <border>
      <left style="thin">
        <color rgb="FF3271D2"/>
      </left>
      <right style="thin">
        <color rgb="FF3271D2"/>
      </right>
      <top/>
      <bottom/>
      <diagonal/>
    </border>
    <border>
      <left style="thin">
        <color rgb="FF3271D2"/>
      </left>
      <right style="thin">
        <color rgb="FF3271D2"/>
      </right>
      <top/>
      <bottom style="medium">
        <color rgb="FF3271D2"/>
      </bottom>
      <diagonal/>
    </border>
    <border>
      <left/>
      <right/>
      <top style="medium">
        <color rgb="FF3271D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29" fillId="0" borderId="0"/>
    <xf numFmtId="176" fontId="3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6" fillId="0" borderId="0"/>
  </cellStyleXfs>
  <cellXfs count="625">
    <xf numFmtId="0" fontId="0" fillId="0" borderId="0" xfId="0"/>
    <xf numFmtId="0" fontId="13" fillId="0" borderId="1" xfId="3" applyFont="1" applyBorder="1" applyProtection="1">
      <protection locked="0"/>
    </xf>
    <xf numFmtId="164" fontId="15" fillId="0" borderId="0" xfId="4" applyNumberFormat="1" applyFont="1" applyFill="1" applyBorder="1" applyAlignment="1" applyProtection="1">
      <alignment horizontal="left"/>
      <protection locked="0"/>
    </xf>
    <xf numFmtId="165" fontId="15" fillId="0" borderId="0" xfId="4" applyNumberFormat="1" applyFont="1" applyFill="1" applyBorder="1" applyAlignment="1" applyProtection="1">
      <alignment horizontal="center"/>
      <protection locked="0"/>
    </xf>
    <xf numFmtId="0" fontId="16" fillId="0" borderId="0" xfId="4" applyFont="1" applyFill="1" applyBorder="1" applyProtection="1">
      <protection locked="0"/>
    </xf>
    <xf numFmtId="0" fontId="17" fillId="2" borderId="0" xfId="3" applyFont="1" applyFill="1"/>
    <xf numFmtId="0" fontId="17" fillId="0" borderId="0" xfId="3" applyFont="1"/>
    <xf numFmtId="164" fontId="20" fillId="0" borderId="0" xfId="2" applyNumberFormat="1" applyFont="1" applyFill="1" applyBorder="1" applyProtection="1">
      <protection locked="0"/>
    </xf>
    <xf numFmtId="164" fontId="20" fillId="0" borderId="0" xfId="4" applyNumberFormat="1" applyFont="1" applyFill="1" applyBorder="1"/>
    <xf numFmtId="0" fontId="15" fillId="0" borderId="0" xfId="4" applyFont="1" applyFill="1" applyBorder="1"/>
    <xf numFmtId="0" fontId="0" fillId="4" borderId="0" xfId="0" applyFill="1"/>
    <xf numFmtId="0" fontId="24" fillId="0" borderId="18" xfId="0" applyFont="1" applyBorder="1" applyAlignment="1">
      <alignment horizontal="left"/>
    </xf>
    <xf numFmtId="0" fontId="10" fillId="0" borderId="18" xfId="0" applyFont="1" applyBorder="1"/>
    <xf numFmtId="167" fontId="24" fillId="0" borderId="18" xfId="0" applyNumberFormat="1" applyFont="1" applyBorder="1" applyAlignment="1">
      <alignment horizontal="right"/>
    </xf>
    <xf numFmtId="0" fontId="25" fillId="0" borderId="0" xfId="0" applyFont="1"/>
    <xf numFmtId="37" fontId="6" fillId="0" borderId="18" xfId="0" applyNumberFormat="1" applyFont="1" applyBorder="1" applyAlignment="1">
      <alignment vertical="center"/>
    </xf>
    <xf numFmtId="0" fontId="10" fillId="0" borderId="0" xfId="0" applyFont="1"/>
    <xf numFmtId="0" fontId="26" fillId="0" borderId="19" xfId="0" applyFont="1" applyBorder="1" applyAlignment="1">
      <alignment vertical="center"/>
    </xf>
    <xf numFmtId="164" fontId="27" fillId="0" borderId="0" xfId="0" applyNumberFormat="1" applyFont="1" applyAlignment="1">
      <alignment vertical="center"/>
    </xf>
    <xf numFmtId="167" fontId="7" fillId="0" borderId="20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indent="1"/>
    </xf>
    <xf numFmtId="0" fontId="11" fillId="0" borderId="0" xfId="0" applyFont="1"/>
    <xf numFmtId="168" fontId="28" fillId="0" borderId="0" xfId="0" applyNumberFormat="1" applyFont="1" applyAlignment="1">
      <alignment vertical="center"/>
    </xf>
    <xf numFmtId="167" fontId="28" fillId="0" borderId="0" xfId="0" applyNumberFormat="1" applyFont="1" applyAlignment="1">
      <alignment vertical="center"/>
    </xf>
    <xf numFmtId="168" fontId="19" fillId="6" borderId="0" xfId="0" applyNumberFormat="1" applyFont="1" applyFill="1" applyAlignment="1">
      <alignment vertical="center"/>
    </xf>
    <xf numFmtId="169" fontId="30" fillId="0" borderId="0" xfId="5" applyNumberFormat="1" applyFont="1" applyAlignment="1" applyProtection="1">
      <alignment horizontal="center" vertical="center"/>
      <protection hidden="1"/>
    </xf>
    <xf numFmtId="168" fontId="28" fillId="0" borderId="18" xfId="0" applyNumberFormat="1" applyFont="1" applyBorder="1" applyAlignment="1">
      <alignment vertical="center"/>
    </xf>
    <xf numFmtId="167" fontId="28" fillId="0" borderId="18" xfId="0" applyNumberFormat="1" applyFont="1" applyBorder="1" applyAlignment="1">
      <alignment vertical="center"/>
    </xf>
    <xf numFmtId="168" fontId="19" fillId="6" borderId="18" xfId="0" applyNumberFormat="1" applyFont="1" applyFill="1" applyBorder="1" applyAlignment="1">
      <alignment vertical="center"/>
    </xf>
    <xf numFmtId="167" fontId="19" fillId="0" borderId="0" xfId="0" applyNumberFormat="1" applyFont="1" applyAlignment="1">
      <alignment vertical="center"/>
    </xf>
    <xf numFmtId="170" fontId="31" fillId="0" borderId="0" xfId="0" applyNumberFormat="1" applyFont="1" applyAlignment="1">
      <alignment horizontal="right"/>
    </xf>
    <xf numFmtId="0" fontId="32" fillId="0" borderId="0" xfId="0" applyFont="1" applyAlignment="1">
      <alignment horizontal="left" indent="1"/>
    </xf>
    <xf numFmtId="0" fontId="33" fillId="0" borderId="0" xfId="0" applyFont="1"/>
    <xf numFmtId="171" fontId="32" fillId="6" borderId="0" xfId="1" applyNumberFormat="1" applyFont="1" applyFill="1" applyBorder="1" applyAlignment="1">
      <alignment vertical="center"/>
    </xf>
    <xf numFmtId="0" fontId="11" fillId="0" borderId="18" xfId="0" applyFont="1" applyBorder="1"/>
    <xf numFmtId="0" fontId="24" fillId="0" borderId="0" xfId="0" applyFont="1" applyAlignment="1">
      <alignment horizontal="left"/>
    </xf>
    <xf numFmtId="37" fontId="6" fillId="0" borderId="0" xfId="0" applyNumberFormat="1" applyFont="1" applyAlignment="1">
      <alignment vertical="center"/>
    </xf>
    <xf numFmtId="0" fontId="19" fillId="0" borderId="0" xfId="0" applyFont="1" applyAlignment="1">
      <alignment horizontal="left"/>
    </xf>
    <xf numFmtId="172" fontId="34" fillId="0" borderId="0" xfId="0" applyNumberFormat="1" applyFont="1" applyAlignment="1">
      <alignment horizontal="left" indent="1"/>
    </xf>
    <xf numFmtId="0" fontId="35" fillId="0" borderId="0" xfId="0" applyFont="1"/>
    <xf numFmtId="173" fontId="34" fillId="0" borderId="0" xfId="0" applyNumberFormat="1" applyFont="1" applyAlignment="1">
      <alignment horizontal="left" indent="1"/>
    </xf>
    <xf numFmtId="174" fontId="34" fillId="0" borderId="0" xfId="0" applyNumberFormat="1" applyFont="1" applyAlignment="1">
      <alignment horizontal="left" indent="1"/>
    </xf>
    <xf numFmtId="175" fontId="34" fillId="0" borderId="0" xfId="0" applyNumberFormat="1" applyFont="1" applyAlignment="1">
      <alignment horizontal="left" indent="1"/>
    </xf>
    <xf numFmtId="0" fontId="11" fillId="0" borderId="21" xfId="0" applyFont="1" applyBorder="1"/>
    <xf numFmtId="0" fontId="36" fillId="0" borderId="0" xfId="0" applyFont="1"/>
    <xf numFmtId="168" fontId="19" fillId="6" borderId="22" xfId="0" applyNumberFormat="1" applyFont="1" applyFill="1" applyBorder="1" applyAlignment="1">
      <alignment vertical="center"/>
    </xf>
    <xf numFmtId="0" fontId="10" fillId="4" borderId="0" xfId="0" applyFont="1" applyFill="1"/>
    <xf numFmtId="0" fontId="3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4" fillId="0" borderId="0" xfId="0" applyFont="1"/>
    <xf numFmtId="0" fontId="4" fillId="0" borderId="0" xfId="0" applyFont="1" applyAlignment="1">
      <alignment horizontal="left" indent="2"/>
    </xf>
    <xf numFmtId="166" fontId="7" fillId="0" borderId="17" xfId="0" applyNumberFormat="1" applyFont="1" applyBorder="1" applyAlignment="1">
      <alignment vertical="center"/>
    </xf>
    <xf numFmtId="0" fontId="7" fillId="0" borderId="17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37" fontId="38" fillId="7" borderId="0" xfId="0" applyNumberFormat="1" applyFont="1" applyFill="1" applyAlignment="1">
      <alignment vertical="center"/>
    </xf>
    <xf numFmtId="37" fontId="6" fillId="7" borderId="0" xfId="0" applyNumberFormat="1" applyFont="1" applyFill="1" applyAlignment="1">
      <alignment vertical="center"/>
    </xf>
    <xf numFmtId="37" fontId="8" fillId="7" borderId="0" xfId="0" applyNumberFormat="1" applyFont="1" applyFill="1" applyAlignment="1">
      <alignment vertical="center"/>
    </xf>
    <xf numFmtId="170" fontId="6" fillId="7" borderId="0" xfId="0" applyNumberFormat="1" applyFont="1" applyFill="1" applyAlignment="1">
      <alignment horizontal="right"/>
    </xf>
    <xf numFmtId="177" fontId="33" fillId="0" borderId="0" xfId="6" applyNumberFormat="1" applyFont="1" applyProtection="1">
      <protection locked="0"/>
    </xf>
    <xf numFmtId="177" fontId="33" fillId="0" borderId="0" xfId="6" applyNumberFormat="1" applyFont="1" applyAlignment="1" applyProtection="1">
      <alignment horizontal="center"/>
      <protection locked="0"/>
    </xf>
    <xf numFmtId="177" fontId="33" fillId="0" borderId="0" xfId="6" applyNumberFormat="1" applyFont="1" applyAlignment="1">
      <alignment horizontal="right"/>
    </xf>
    <xf numFmtId="166" fontId="31" fillId="0" borderId="0" xfId="0" applyNumberFormat="1" applyFont="1" applyAlignment="1">
      <alignment horizontal="right"/>
    </xf>
    <xf numFmtId="168" fontId="19" fillId="0" borderId="0" xfId="0" applyNumberFormat="1" applyFont="1"/>
    <xf numFmtId="168" fontId="36" fillId="0" borderId="0" xfId="0" applyNumberFormat="1" applyFont="1"/>
    <xf numFmtId="0" fontId="7" fillId="0" borderId="0" xfId="0" applyFont="1"/>
    <xf numFmtId="49" fontId="4" fillId="0" borderId="19" xfId="0" applyNumberFormat="1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40" fillId="0" borderId="19" xfId="0" quotePrefix="1" applyFont="1" applyBorder="1" applyAlignment="1">
      <alignment horizontal="center" vertical="center"/>
    </xf>
    <xf numFmtId="178" fontId="28" fillId="0" borderId="19" xfId="0" applyNumberFormat="1" applyFont="1" applyBorder="1" applyAlignment="1">
      <alignment horizontal="right" vertical="center"/>
    </xf>
    <xf numFmtId="0" fontId="4" fillId="0" borderId="19" xfId="0" applyFont="1" applyBorder="1"/>
    <xf numFmtId="0" fontId="10" fillId="0" borderId="19" xfId="0" applyFont="1" applyBorder="1"/>
    <xf numFmtId="167" fontId="28" fillId="0" borderId="19" xfId="7" applyNumberFormat="1" applyFont="1" applyFill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0" fillId="0" borderId="0" xfId="0" quotePrefix="1" applyFont="1" applyAlignment="1">
      <alignment horizontal="center" vertical="center"/>
    </xf>
    <xf numFmtId="178" fontId="28" fillId="0" borderId="0" xfId="0" applyNumberFormat="1" applyFont="1" applyAlignment="1">
      <alignment horizontal="right" vertical="center"/>
    </xf>
    <xf numFmtId="177" fontId="26" fillId="0" borderId="0" xfId="6" applyNumberFormat="1" applyFont="1" applyAlignment="1">
      <alignment horizontal="right"/>
    </xf>
    <xf numFmtId="167" fontId="28" fillId="0" borderId="0" xfId="7" applyNumberFormat="1" applyFont="1" applyFill="1" applyBorder="1" applyAlignment="1">
      <alignment vertical="center"/>
    </xf>
    <xf numFmtId="167" fontId="28" fillId="0" borderId="0" xfId="7" applyNumberFormat="1" applyFont="1"/>
    <xf numFmtId="180" fontId="19" fillId="0" borderId="0" xfId="4" applyNumberFormat="1" applyFont="1" applyFill="1" applyBorder="1" applyAlignment="1" applyProtection="1">
      <alignment horizontal="right" vertical="center"/>
      <protection locked="0"/>
    </xf>
    <xf numFmtId="177" fontId="26" fillId="0" borderId="0" xfId="6" applyNumberFormat="1" applyFont="1" applyAlignment="1" applyProtection="1">
      <alignment horizontal="center"/>
      <protection locked="0"/>
    </xf>
    <xf numFmtId="177" fontId="26" fillId="0" borderId="0" xfId="6" applyNumberFormat="1" applyFont="1" applyAlignment="1" applyProtection="1">
      <alignment vertical="center"/>
      <protection locked="0"/>
    </xf>
    <xf numFmtId="0" fontId="7" fillId="0" borderId="21" xfId="0" applyFont="1" applyBorder="1"/>
    <xf numFmtId="0" fontId="10" fillId="0" borderId="21" xfId="0" applyFont="1" applyBorder="1"/>
    <xf numFmtId="0" fontId="40" fillId="0" borderId="0" xfId="0" applyFont="1" applyAlignment="1">
      <alignment horizontal="center" vertical="center"/>
    </xf>
    <xf numFmtId="177" fontId="4" fillId="0" borderId="0" xfId="6" applyNumberFormat="1" applyFont="1" applyBorder="1" applyAlignment="1" applyProtection="1">
      <alignment vertical="center"/>
      <protection locked="0"/>
    </xf>
    <xf numFmtId="177" fontId="26" fillId="0" borderId="0" xfId="6" applyNumberFormat="1" applyFont="1" applyBorder="1" applyAlignment="1" applyProtection="1">
      <alignment vertical="center"/>
      <protection locked="0"/>
    </xf>
    <xf numFmtId="0" fontId="19" fillId="0" borderId="0" xfId="0" applyFont="1" applyAlignment="1">
      <alignment vertical="center"/>
    </xf>
    <xf numFmtId="0" fontId="41" fillId="0" borderId="0" xfId="0" quotePrefix="1" applyFont="1" applyAlignment="1">
      <alignment horizontal="center" vertical="center"/>
    </xf>
    <xf numFmtId="181" fontId="28" fillId="0" borderId="0" xfId="1" applyNumberFormat="1" applyFont="1" applyFill="1" applyBorder="1" applyAlignment="1">
      <alignment horizontal="right" vertical="center"/>
    </xf>
    <xf numFmtId="182" fontId="28" fillId="0" borderId="0" xfId="1" applyNumberFormat="1" applyFont="1" applyFill="1" applyBorder="1" applyAlignment="1">
      <alignment vertical="center"/>
    </xf>
    <xf numFmtId="168" fontId="28" fillId="0" borderId="0" xfId="1" applyNumberFormat="1" applyFont="1" applyFill="1" applyBorder="1" applyAlignment="1">
      <alignment vertical="center"/>
    </xf>
    <xf numFmtId="177" fontId="32" fillId="0" borderId="0" xfId="6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177" fontId="42" fillId="0" borderId="0" xfId="6" applyNumberFormat="1" applyFont="1" applyFill="1" applyBorder="1" applyAlignment="1" applyProtection="1">
      <alignment vertical="center"/>
      <protection locked="0"/>
    </xf>
    <xf numFmtId="168" fontId="28" fillId="0" borderId="0" xfId="1" applyNumberFormat="1" applyFont="1" applyFill="1" applyBorder="1" applyAlignment="1">
      <alignment horizontal="right" vertical="center"/>
    </xf>
    <xf numFmtId="183" fontId="28" fillId="0" borderId="0" xfId="7" applyNumberFormat="1" applyFont="1" applyFill="1" applyBorder="1" applyAlignment="1">
      <alignment vertical="center"/>
    </xf>
    <xf numFmtId="168" fontId="19" fillId="6" borderId="0" xfId="1" applyNumberFormat="1" applyFont="1" applyFill="1" applyBorder="1" applyAlignment="1">
      <alignment vertical="center"/>
    </xf>
    <xf numFmtId="181" fontId="28" fillId="0" borderId="0" xfId="7" applyNumberFormat="1" applyFont="1" applyFill="1" applyBorder="1" applyAlignment="1">
      <alignment vertical="center"/>
    </xf>
    <xf numFmtId="184" fontId="4" fillId="6" borderId="0" xfId="4" applyNumberFormat="1" applyFont="1" applyFill="1" applyBorder="1" applyAlignment="1" applyProtection="1">
      <alignment horizontal="right" vertical="center"/>
      <protection locked="0"/>
    </xf>
    <xf numFmtId="0" fontId="44" fillId="7" borderId="0" xfId="0" applyFont="1" applyFill="1" applyAlignment="1">
      <alignment horizontal="right" vertical="center"/>
    </xf>
    <xf numFmtId="37" fontId="8" fillId="0" borderId="0" xfId="0" applyNumberFormat="1" applyFont="1" applyAlignment="1">
      <alignment vertical="center"/>
    </xf>
    <xf numFmtId="170" fontId="6" fillId="0" borderId="0" xfId="0" applyNumberFormat="1" applyFont="1" applyAlignment="1">
      <alignment horizontal="right"/>
    </xf>
    <xf numFmtId="170" fontId="31" fillId="0" borderId="20" xfId="0" applyNumberFormat="1" applyFont="1" applyBorder="1" applyAlignment="1">
      <alignment horizontal="right"/>
    </xf>
    <xf numFmtId="166" fontId="31" fillId="0" borderId="22" xfId="0" applyNumberFormat="1" applyFont="1" applyBorder="1" applyAlignment="1">
      <alignment horizontal="right"/>
    </xf>
    <xf numFmtId="0" fontId="19" fillId="0" borderId="23" xfId="0" applyFont="1" applyBorder="1" applyAlignment="1">
      <alignment horizontal="left"/>
    </xf>
    <xf numFmtId="167" fontId="28" fillId="0" borderId="25" xfId="0" applyNumberFormat="1" applyFont="1" applyBorder="1"/>
    <xf numFmtId="167" fontId="28" fillId="0" borderId="26" xfId="0" applyNumberFormat="1" applyFont="1" applyBorder="1"/>
    <xf numFmtId="0" fontId="19" fillId="0" borderId="28" xfId="0" applyFont="1" applyBorder="1" applyAlignment="1">
      <alignment horizontal="left"/>
    </xf>
    <xf numFmtId="167" fontId="19" fillId="0" borderId="29" xfId="0" applyNumberFormat="1" applyFont="1" applyBorder="1"/>
    <xf numFmtId="167" fontId="19" fillId="0" borderId="0" xfId="0" applyNumberFormat="1" applyFont="1"/>
    <xf numFmtId="37" fontId="45" fillId="0" borderId="0" xfId="0" applyNumberFormat="1" applyFont="1" applyAlignment="1">
      <alignment vertical="center"/>
    </xf>
    <xf numFmtId="37" fontId="46" fillId="0" borderId="0" xfId="0" applyNumberFormat="1" applyFont="1" applyAlignment="1">
      <alignment vertical="center"/>
    </xf>
    <xf numFmtId="0" fontId="19" fillId="0" borderId="0" xfId="0" applyFont="1"/>
    <xf numFmtId="0" fontId="47" fillId="0" borderId="0" xfId="0" applyFont="1" applyAlignment="1">
      <alignment horizontal="center"/>
    </xf>
    <xf numFmtId="185" fontId="19" fillId="0" borderId="0" xfId="0" applyNumberFormat="1" applyFont="1"/>
    <xf numFmtId="167" fontId="28" fillId="0" borderId="0" xfId="0" applyNumberFormat="1" applyFont="1"/>
    <xf numFmtId="170" fontId="31" fillId="0" borderId="18" xfId="0" applyNumberFormat="1" applyFont="1" applyBorder="1" applyAlignment="1">
      <alignment horizontal="right"/>
    </xf>
    <xf numFmtId="167" fontId="19" fillId="0" borderId="18" xfId="0" applyNumberFormat="1" applyFont="1" applyBorder="1"/>
    <xf numFmtId="167" fontId="19" fillId="0" borderId="30" xfId="0" applyNumberFormat="1" applyFont="1" applyBorder="1"/>
    <xf numFmtId="167" fontId="19" fillId="0" borderId="32" xfId="0" applyNumberFormat="1" applyFont="1" applyBorder="1"/>
    <xf numFmtId="181" fontId="28" fillId="0" borderId="0" xfId="0" applyNumberFormat="1" applyFont="1"/>
    <xf numFmtId="181" fontId="19" fillId="0" borderId="0" xfId="0" applyNumberFormat="1" applyFont="1"/>
    <xf numFmtId="0" fontId="48" fillId="0" borderId="0" xfId="0" applyFont="1" applyAlignment="1">
      <alignment horizontal="center" vertical="center"/>
    </xf>
    <xf numFmtId="37" fontId="49" fillId="0" borderId="0" xfId="0" applyNumberFormat="1" applyFont="1" applyAlignment="1">
      <alignment vertical="center"/>
    </xf>
    <xf numFmtId="167" fontId="19" fillId="0" borderId="23" xfId="0" applyNumberFormat="1" applyFont="1" applyBorder="1"/>
    <xf numFmtId="168" fontId="28" fillId="0" borderId="0" xfId="0" applyNumberFormat="1" applyFont="1"/>
    <xf numFmtId="0" fontId="50" fillId="0" borderId="0" xfId="0" applyFont="1"/>
    <xf numFmtId="0" fontId="19" fillId="0" borderId="18" xfId="0" applyFont="1" applyBorder="1"/>
    <xf numFmtId="0" fontId="36" fillId="0" borderId="18" xfId="0" applyFont="1" applyBorder="1"/>
    <xf numFmtId="167" fontId="36" fillId="0" borderId="0" xfId="0" applyNumberFormat="1" applyFont="1"/>
    <xf numFmtId="167" fontId="28" fillId="0" borderId="18" xfId="0" applyNumberFormat="1" applyFont="1" applyBorder="1"/>
    <xf numFmtId="167" fontId="19" fillId="0" borderId="16" xfId="0" applyNumberFormat="1" applyFont="1" applyBorder="1" applyAlignment="1">
      <alignment vertical="center"/>
    </xf>
    <xf numFmtId="168" fontId="19" fillId="0" borderId="26" xfId="0" applyNumberFormat="1" applyFont="1" applyBorder="1"/>
    <xf numFmtId="168" fontId="19" fillId="0" borderId="33" xfId="0" applyNumberFormat="1" applyFont="1" applyBorder="1"/>
    <xf numFmtId="0" fontId="4" fillId="0" borderId="23" xfId="0" applyFont="1" applyBorder="1" applyAlignment="1">
      <alignment vertical="center"/>
    </xf>
    <xf numFmtId="186" fontId="36" fillId="0" borderId="24" xfId="7" applyNumberFormat="1" applyFont="1" applyFill="1" applyBorder="1" applyAlignment="1">
      <alignment horizontal="right"/>
    </xf>
    <xf numFmtId="171" fontId="19" fillId="0" borderId="29" xfId="1" applyNumberFormat="1" applyFont="1" applyFill="1" applyBorder="1" applyAlignment="1"/>
    <xf numFmtId="167" fontId="28" fillId="0" borderId="0" xfId="0" applyNumberFormat="1" applyFont="1" applyAlignment="1">
      <alignment horizontal="right"/>
    </xf>
    <xf numFmtId="167" fontId="36" fillId="6" borderId="0" xfId="0" applyNumberFormat="1" applyFont="1" applyFill="1" applyAlignment="1">
      <alignment horizontal="right"/>
    </xf>
    <xf numFmtId="167" fontId="36" fillId="6" borderId="30" xfId="0" applyNumberFormat="1" applyFont="1" applyFill="1" applyBorder="1" applyAlignment="1">
      <alignment horizontal="right"/>
    </xf>
    <xf numFmtId="167" fontId="28" fillId="0" borderId="18" xfId="0" applyNumberFormat="1" applyFont="1" applyBorder="1" applyAlignment="1">
      <alignment horizontal="right"/>
    </xf>
    <xf numFmtId="167" fontId="36" fillId="6" borderId="18" xfId="0" applyNumberFormat="1" applyFont="1" applyFill="1" applyBorder="1" applyAlignment="1">
      <alignment horizontal="right"/>
    </xf>
    <xf numFmtId="167" fontId="36" fillId="6" borderId="34" xfId="0" applyNumberFormat="1" applyFont="1" applyFill="1" applyBorder="1" applyAlignment="1">
      <alignment horizontal="right"/>
    </xf>
    <xf numFmtId="0" fontId="24" fillId="0" borderId="0" xfId="0" applyFont="1" applyAlignment="1">
      <alignment horizontal="left" indent="1"/>
    </xf>
    <xf numFmtId="0" fontId="31" fillId="0" borderId="0" xfId="0" applyFont="1"/>
    <xf numFmtId="167" fontId="31" fillId="0" borderId="0" xfId="0" applyNumberFormat="1" applyFont="1" applyAlignment="1">
      <alignment horizontal="right"/>
    </xf>
    <xf numFmtId="167" fontId="31" fillId="0" borderId="31" xfId="0" applyNumberFormat="1" applyFont="1" applyBorder="1" applyAlignment="1">
      <alignment horizontal="right"/>
    </xf>
    <xf numFmtId="167" fontId="31" fillId="0" borderId="0" xfId="1" applyNumberFormat="1" applyFont="1" applyAlignment="1">
      <alignment horizontal="right"/>
    </xf>
    <xf numFmtId="167" fontId="51" fillId="0" borderId="0" xfId="1" applyNumberFormat="1" applyFont="1" applyAlignment="1">
      <alignment horizontal="right"/>
    </xf>
    <xf numFmtId="167" fontId="31" fillId="0" borderId="0" xfId="1" applyNumberFormat="1" applyFont="1" applyBorder="1" applyAlignment="1">
      <alignment horizontal="right"/>
    </xf>
    <xf numFmtId="167" fontId="31" fillId="0" borderId="31" xfId="1" applyNumberFormat="1" applyFont="1" applyBorder="1" applyAlignment="1">
      <alignment horizontal="right"/>
    </xf>
    <xf numFmtId="167" fontId="36" fillId="6" borderId="31" xfId="0" applyNumberFormat="1" applyFont="1" applyFill="1" applyBorder="1" applyAlignment="1">
      <alignment horizontal="right"/>
    </xf>
    <xf numFmtId="167" fontId="19" fillId="6" borderId="34" xfId="0" applyNumberFormat="1" applyFont="1" applyFill="1" applyBorder="1" applyAlignment="1">
      <alignment horizontal="right"/>
    </xf>
    <xf numFmtId="167" fontId="28" fillId="6" borderId="34" xfId="0" applyNumberFormat="1" applyFont="1" applyFill="1" applyBorder="1" applyAlignment="1">
      <alignment horizontal="right"/>
    </xf>
    <xf numFmtId="167" fontId="19" fillId="0" borderId="0" xfId="0" applyNumberFormat="1" applyFont="1" applyAlignment="1">
      <alignment horizontal="right"/>
    </xf>
    <xf numFmtId="167" fontId="19" fillId="0" borderId="3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/>
    </xf>
    <xf numFmtId="167" fontId="36" fillId="0" borderId="1" xfId="0" applyNumberFormat="1" applyFont="1" applyBorder="1" applyAlignment="1">
      <alignment horizontal="right"/>
    </xf>
    <xf numFmtId="167" fontId="36" fillId="0" borderId="0" xfId="0" applyNumberFormat="1" applyFont="1" applyAlignment="1">
      <alignment horizontal="right"/>
    </xf>
    <xf numFmtId="167" fontId="36" fillId="0" borderId="31" xfId="0" applyNumberFormat="1" applyFont="1" applyBorder="1" applyAlignment="1">
      <alignment horizontal="right"/>
    </xf>
    <xf numFmtId="167" fontId="31" fillId="0" borderId="16" xfId="0" applyNumberFormat="1" applyFont="1" applyBorder="1" applyAlignment="1">
      <alignment horizontal="right" vertical="center"/>
    </xf>
    <xf numFmtId="167" fontId="31" fillId="0" borderId="38" xfId="0" applyNumberFormat="1" applyFont="1" applyBorder="1" applyAlignment="1">
      <alignment horizontal="right" vertical="center"/>
    </xf>
    <xf numFmtId="187" fontId="31" fillId="0" borderId="0" xfId="0" applyNumberFormat="1" applyFont="1"/>
    <xf numFmtId="0" fontId="31" fillId="0" borderId="18" xfId="0" applyFont="1" applyBorder="1"/>
    <xf numFmtId="187" fontId="31" fillId="0" borderId="18" xfId="0" applyNumberFormat="1" applyFont="1" applyBorder="1"/>
    <xf numFmtId="37" fontId="4" fillId="7" borderId="0" xfId="0" applyNumberFormat="1" applyFont="1" applyFill="1" applyAlignment="1">
      <alignment vertical="center"/>
    </xf>
    <xf numFmtId="188" fontId="27" fillId="7" borderId="0" xfId="0" applyNumberFormat="1" applyFont="1" applyFill="1" applyAlignment="1">
      <alignment horizontal="centerContinuous"/>
    </xf>
    <xf numFmtId="188" fontId="31" fillId="7" borderId="0" xfId="0" applyNumberFormat="1" applyFont="1" applyFill="1" applyAlignment="1">
      <alignment horizontal="centerContinuous"/>
    </xf>
    <xf numFmtId="166" fontId="24" fillId="0" borderId="22" xfId="0" applyNumberFormat="1" applyFont="1" applyBorder="1" applyAlignment="1">
      <alignment horizontal="right"/>
    </xf>
    <xf numFmtId="167" fontId="19" fillId="0" borderId="24" xfId="0" applyNumberFormat="1" applyFont="1" applyBorder="1"/>
    <xf numFmtId="167" fontId="19" fillId="0" borderId="39" xfId="0" applyNumberFormat="1" applyFont="1" applyBorder="1"/>
    <xf numFmtId="167" fontId="19" fillId="0" borderId="40" xfId="0" applyNumberFormat="1" applyFont="1" applyBorder="1"/>
    <xf numFmtId="167" fontId="19" fillId="0" borderId="28" xfId="0" applyNumberFormat="1" applyFont="1" applyBorder="1"/>
    <xf numFmtId="185" fontId="36" fillId="0" borderId="0" xfId="0" applyNumberFormat="1" applyFont="1"/>
    <xf numFmtId="0" fontId="36" fillId="0" borderId="0" xfId="0" applyFont="1" applyAlignment="1">
      <alignment horizontal="left" indent="1"/>
    </xf>
    <xf numFmtId="167" fontId="36" fillId="6" borderId="0" xfId="0" applyNumberFormat="1" applyFont="1" applyFill="1"/>
    <xf numFmtId="167" fontId="36" fillId="6" borderId="23" xfId="0" applyNumberFormat="1" applyFont="1" applyFill="1" applyBorder="1"/>
    <xf numFmtId="167" fontId="36" fillId="6" borderId="24" xfId="0" applyNumberFormat="1" applyFont="1" applyFill="1" applyBorder="1"/>
    <xf numFmtId="167" fontId="36" fillId="6" borderId="39" xfId="0" applyNumberFormat="1" applyFont="1" applyFill="1" applyBorder="1"/>
    <xf numFmtId="167" fontId="36" fillId="6" borderId="40" xfId="0" applyNumberFormat="1" applyFont="1" applyFill="1" applyBorder="1"/>
    <xf numFmtId="167" fontId="36" fillId="6" borderId="28" xfId="0" applyNumberFormat="1" applyFont="1" applyFill="1" applyBorder="1"/>
    <xf numFmtId="167" fontId="36" fillId="6" borderId="29" xfId="0" applyNumberFormat="1" applyFont="1" applyFill="1" applyBorder="1"/>
    <xf numFmtId="0" fontId="27" fillId="0" borderId="0" xfId="0" applyFont="1" applyAlignment="1">
      <alignment horizontal="center"/>
    </xf>
    <xf numFmtId="40" fontId="36" fillId="0" borderId="0" xfId="0" applyNumberFormat="1" applyFont="1"/>
    <xf numFmtId="38" fontId="36" fillId="0" borderId="0" xfId="0" applyNumberFormat="1" applyFont="1"/>
    <xf numFmtId="185" fontId="53" fillId="0" borderId="0" xfId="0" applyNumberFormat="1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 indent="1"/>
    </xf>
    <xf numFmtId="0" fontId="48" fillId="0" borderId="0" xfId="0" applyFont="1" applyAlignment="1">
      <alignment horizontal="right" vertical="center"/>
    </xf>
    <xf numFmtId="167" fontId="24" fillId="0" borderId="16" xfId="0" applyNumberFormat="1" applyFont="1" applyBorder="1" applyAlignment="1">
      <alignment vertical="center"/>
    </xf>
    <xf numFmtId="167" fontId="24" fillId="0" borderId="41" xfId="0" applyNumberFormat="1" applyFont="1" applyBorder="1" applyAlignment="1">
      <alignment vertical="center"/>
    </xf>
    <xf numFmtId="167" fontId="24" fillId="0" borderId="0" xfId="0" applyNumberFormat="1" applyFont="1"/>
    <xf numFmtId="172" fontId="54" fillId="0" borderId="0" xfId="0" quotePrefix="1" applyNumberFormat="1" applyFont="1" applyAlignment="1">
      <alignment horizontal="right"/>
    </xf>
    <xf numFmtId="189" fontId="38" fillId="7" borderId="0" xfId="0" applyNumberFormat="1" applyFont="1" applyFill="1" applyAlignment="1">
      <alignment vertical="center"/>
    </xf>
    <xf numFmtId="9" fontId="31" fillId="0" borderId="0" xfId="1" applyFont="1" applyBorder="1" applyAlignment="1">
      <alignment horizontal="right"/>
    </xf>
    <xf numFmtId="49" fontId="36" fillId="0" borderId="0" xfId="0" applyNumberFormat="1" applyFont="1" applyAlignment="1">
      <alignment horizontal="left"/>
    </xf>
    <xf numFmtId="167" fontId="19" fillId="6" borderId="26" xfId="0" applyNumberFormat="1" applyFont="1" applyFill="1" applyBorder="1"/>
    <xf numFmtId="167" fontId="19" fillId="6" borderId="27" xfId="0" applyNumberFormat="1" applyFont="1" applyFill="1" applyBorder="1"/>
    <xf numFmtId="172" fontId="36" fillId="0" borderId="0" xfId="0" applyNumberFormat="1" applyFont="1" applyAlignment="1">
      <alignment horizontal="left"/>
    </xf>
    <xf numFmtId="49" fontId="31" fillId="0" borderId="0" xfId="0" applyNumberFormat="1" applyFont="1" applyAlignment="1">
      <alignment horizontal="left"/>
    </xf>
    <xf numFmtId="0" fontId="31" fillId="0" borderId="0" xfId="0" applyFont="1" applyAlignment="1">
      <alignment horizontal="right"/>
    </xf>
    <xf numFmtId="0" fontId="31" fillId="0" borderId="0" xfId="0" applyFont="1" applyAlignment="1">
      <alignment horizontal="centerContinuous"/>
    </xf>
    <xf numFmtId="166" fontId="31" fillId="0" borderId="0" xfId="0" applyNumberFormat="1" applyFont="1" applyAlignment="1">
      <alignment horizontal="centerContinuous"/>
    </xf>
    <xf numFmtId="37" fontId="45" fillId="0" borderId="0" xfId="0" applyNumberFormat="1" applyFont="1" applyAlignment="1">
      <alignment horizontal="centerContinuous" vertical="center"/>
    </xf>
    <xf numFmtId="0" fontId="36" fillId="0" borderId="23" xfId="0" applyFont="1" applyBorder="1" applyAlignment="1">
      <alignment horizontal="left"/>
    </xf>
    <xf numFmtId="37" fontId="45" fillId="0" borderId="32" xfId="0" applyNumberFormat="1" applyFont="1" applyBorder="1" applyAlignment="1">
      <alignment vertical="center"/>
    </xf>
    <xf numFmtId="181" fontId="36" fillId="0" borderId="24" xfId="1" applyNumberFormat="1" applyFont="1" applyFill="1" applyBorder="1" applyAlignment="1">
      <alignment horizontal="right"/>
    </xf>
    <xf numFmtId="170" fontId="31" fillId="0" borderId="0" xfId="0" applyNumberFormat="1" applyFont="1" applyAlignment="1">
      <alignment horizontal="left"/>
    </xf>
    <xf numFmtId="190" fontId="31" fillId="0" borderId="0" xfId="0" applyNumberFormat="1" applyFont="1" applyAlignment="1">
      <alignment horizontal="right"/>
    </xf>
    <xf numFmtId="37" fontId="46" fillId="0" borderId="18" xfId="0" applyNumberFormat="1" applyFont="1" applyBorder="1" applyAlignment="1">
      <alignment vertical="center"/>
    </xf>
    <xf numFmtId="167" fontId="36" fillId="0" borderId="29" xfId="0" applyNumberFormat="1" applyFont="1" applyBorder="1" applyAlignment="1">
      <alignment horizontal="right"/>
    </xf>
    <xf numFmtId="185" fontId="28" fillId="0" borderId="40" xfId="0" applyNumberFormat="1" applyFont="1" applyBorder="1"/>
    <xf numFmtId="182" fontId="19" fillId="0" borderId="26" xfId="0" applyNumberFormat="1" applyFont="1" applyBorder="1" applyAlignment="1">
      <alignment horizontal="right"/>
    </xf>
    <xf numFmtId="182" fontId="19" fillId="0" borderId="27" xfId="0" applyNumberFormat="1" applyFont="1" applyBorder="1" applyAlignment="1">
      <alignment horizontal="right"/>
    </xf>
    <xf numFmtId="0" fontId="36" fillId="0" borderId="0" xfId="0" applyFont="1" applyAlignment="1">
      <alignment horizontal="left"/>
    </xf>
    <xf numFmtId="181" fontId="56" fillId="0" borderId="0" xfId="1" applyNumberFormat="1" applyFont="1" applyBorder="1" applyAlignment="1">
      <alignment horizontal="right"/>
    </xf>
    <xf numFmtId="0" fontId="27" fillId="0" borderId="0" xfId="0" applyFont="1" applyAlignment="1">
      <alignment horizontal="right" vertical="center"/>
    </xf>
    <xf numFmtId="182" fontId="19" fillId="0" borderId="0" xfId="0" applyNumberFormat="1" applyFont="1" applyAlignment="1">
      <alignment horizontal="right"/>
    </xf>
    <xf numFmtId="164" fontId="27" fillId="0" borderId="18" xfId="0" applyNumberFormat="1" applyFont="1" applyBorder="1" applyAlignment="1">
      <alignment vertical="center"/>
    </xf>
    <xf numFmtId="166" fontId="31" fillId="0" borderId="18" xfId="0" applyNumberFormat="1" applyFont="1" applyBorder="1" applyAlignment="1">
      <alignment horizontal="right"/>
    </xf>
    <xf numFmtId="181" fontId="36" fillId="0" borderId="24" xfId="1" applyNumberFormat="1" applyFont="1" applyBorder="1" applyAlignment="1">
      <alignment horizontal="right"/>
    </xf>
    <xf numFmtId="190" fontId="31" fillId="0" borderId="18" xfId="0" applyNumberFormat="1" applyFont="1" applyBorder="1" applyAlignment="1">
      <alignment horizontal="right"/>
    </xf>
    <xf numFmtId="182" fontId="36" fillId="0" borderId="29" xfId="0" applyNumberFormat="1" applyFont="1" applyBorder="1" applyAlignment="1">
      <alignment horizontal="right"/>
    </xf>
    <xf numFmtId="182" fontId="19" fillId="0" borderId="28" xfId="0" applyNumberFormat="1" applyFont="1" applyBorder="1" applyAlignment="1">
      <alignment horizontal="right"/>
    </xf>
    <xf numFmtId="182" fontId="19" fillId="0" borderId="18" xfId="0" applyNumberFormat="1" applyFont="1" applyBorder="1" applyAlignment="1">
      <alignment horizontal="right"/>
    </xf>
    <xf numFmtId="182" fontId="19" fillId="0" borderId="29" xfId="0" applyNumberFormat="1" applyFont="1" applyBorder="1" applyAlignment="1">
      <alignment horizontal="right"/>
    </xf>
    <xf numFmtId="181" fontId="28" fillId="0" borderId="0" xfId="1" applyNumberFormat="1" applyFont="1" applyBorder="1" applyAlignment="1">
      <alignment horizontal="right"/>
    </xf>
    <xf numFmtId="191" fontId="31" fillId="0" borderId="0" xfId="0" applyNumberFormat="1" applyFont="1" applyAlignment="1">
      <alignment horizontal="right"/>
    </xf>
    <xf numFmtId="166" fontId="31" fillId="0" borderId="23" xfId="0" applyNumberFormat="1" applyFont="1" applyBorder="1" applyAlignment="1">
      <alignment horizontal="left"/>
    </xf>
    <xf numFmtId="192" fontId="19" fillId="0" borderId="32" xfId="0" applyNumberFormat="1" applyFont="1" applyBorder="1" applyAlignment="1">
      <alignment horizontal="left"/>
    </xf>
    <xf numFmtId="166" fontId="36" fillId="0" borderId="24" xfId="0" applyNumberFormat="1" applyFont="1" applyBorder="1" applyAlignment="1">
      <alignment horizontal="left"/>
    </xf>
    <xf numFmtId="168" fontId="19" fillId="0" borderId="32" xfId="0" applyNumberFormat="1" applyFont="1" applyBorder="1" applyAlignment="1">
      <alignment horizontal="right"/>
    </xf>
    <xf numFmtId="168" fontId="19" fillId="0" borderId="24" xfId="0" applyNumberFormat="1" applyFont="1" applyBorder="1" applyAlignment="1">
      <alignment horizontal="right"/>
    </xf>
    <xf numFmtId="166" fontId="31" fillId="0" borderId="39" xfId="0" applyNumberFormat="1" applyFont="1" applyBorder="1" applyAlignment="1">
      <alignment horizontal="left"/>
    </xf>
    <xf numFmtId="192" fontId="19" fillId="0" borderId="0" xfId="0" applyNumberFormat="1" applyFont="1" applyAlignment="1">
      <alignment horizontal="left"/>
    </xf>
    <xf numFmtId="166" fontId="36" fillId="0" borderId="40" xfId="0" applyNumberFormat="1" applyFont="1" applyBorder="1" applyAlignment="1">
      <alignment horizontal="left"/>
    </xf>
    <xf numFmtId="168" fontId="19" fillId="0" borderId="0" xfId="0" applyNumberFormat="1" applyFont="1" applyAlignment="1">
      <alignment horizontal="right"/>
    </xf>
    <xf numFmtId="168" fontId="19" fillId="0" borderId="40" xfId="0" applyNumberFormat="1" applyFont="1" applyBorder="1" applyAlignment="1">
      <alignment horizontal="right"/>
    </xf>
    <xf numFmtId="166" fontId="31" fillId="0" borderId="28" xfId="0" applyNumberFormat="1" applyFont="1" applyBorder="1" applyAlignment="1">
      <alignment horizontal="left"/>
    </xf>
    <xf numFmtId="192" fontId="19" fillId="0" borderId="18" xfId="0" applyNumberFormat="1" applyFont="1" applyBorder="1" applyAlignment="1">
      <alignment horizontal="left"/>
    </xf>
    <xf numFmtId="166" fontId="36" fillId="0" borderId="29" xfId="0" applyNumberFormat="1" applyFont="1" applyBorder="1" applyAlignment="1">
      <alignment horizontal="left"/>
    </xf>
    <xf numFmtId="168" fontId="19" fillId="0" borderId="18" xfId="0" applyNumberFormat="1" applyFont="1" applyBorder="1" applyAlignment="1">
      <alignment horizontal="right"/>
    </xf>
    <xf numFmtId="168" fontId="19" fillId="0" borderId="29" xfId="0" applyNumberFormat="1" applyFont="1" applyBorder="1" applyAlignment="1">
      <alignment horizontal="right"/>
    </xf>
    <xf numFmtId="185" fontId="19" fillId="0" borderId="32" xfId="0" applyNumberFormat="1" applyFont="1" applyBorder="1" applyAlignment="1">
      <alignment horizontal="left"/>
    </xf>
    <xf numFmtId="185" fontId="19" fillId="0" borderId="24" xfId="0" applyNumberFormat="1" applyFont="1" applyBorder="1" applyAlignment="1">
      <alignment horizontal="left"/>
    </xf>
    <xf numFmtId="167" fontId="19" fillId="0" borderId="32" xfId="0" applyNumberFormat="1" applyFont="1" applyBorder="1" applyAlignment="1">
      <alignment horizontal="right"/>
    </xf>
    <xf numFmtId="167" fontId="19" fillId="0" borderId="24" xfId="0" applyNumberFormat="1" applyFont="1" applyBorder="1" applyAlignment="1">
      <alignment horizontal="right"/>
    </xf>
    <xf numFmtId="185" fontId="19" fillId="0" borderId="0" xfId="0" applyNumberFormat="1" applyFont="1" applyAlignment="1">
      <alignment horizontal="left"/>
    </xf>
    <xf numFmtId="185" fontId="19" fillId="0" borderId="40" xfId="0" applyNumberFormat="1" applyFont="1" applyBorder="1" applyAlignment="1">
      <alignment horizontal="left"/>
    </xf>
    <xf numFmtId="167" fontId="19" fillId="0" borderId="40" xfId="0" applyNumberFormat="1" applyFont="1" applyBorder="1" applyAlignment="1">
      <alignment horizontal="right"/>
    </xf>
    <xf numFmtId="185" fontId="19" fillId="0" borderId="18" xfId="0" applyNumberFormat="1" applyFont="1" applyBorder="1" applyAlignment="1">
      <alignment horizontal="left"/>
    </xf>
    <xf numFmtId="185" fontId="19" fillId="0" borderId="29" xfId="0" applyNumberFormat="1" applyFont="1" applyBorder="1" applyAlignment="1">
      <alignment horizontal="left"/>
    </xf>
    <xf numFmtId="167" fontId="19" fillId="0" borderId="18" xfId="0" applyNumberFormat="1" applyFont="1" applyBorder="1" applyAlignment="1">
      <alignment horizontal="right"/>
    </xf>
    <xf numFmtId="167" fontId="19" fillId="0" borderId="29" xfId="0" applyNumberFormat="1" applyFont="1" applyBorder="1" applyAlignment="1">
      <alignment horizontal="right"/>
    </xf>
    <xf numFmtId="173" fontId="54" fillId="0" borderId="0" xfId="0" quotePrefix="1" applyNumberFormat="1" applyFont="1" applyAlignment="1">
      <alignment horizontal="right"/>
    </xf>
    <xf numFmtId="172" fontId="36" fillId="0" borderId="0" xfId="0" quotePrefix="1" applyNumberFormat="1" applyFont="1" applyAlignment="1">
      <alignment horizontal="right"/>
    </xf>
    <xf numFmtId="167" fontId="19" fillId="6" borderId="25" xfId="0" applyNumberFormat="1" applyFont="1" applyFill="1" applyBorder="1"/>
    <xf numFmtId="37" fontId="46" fillId="0" borderId="32" xfId="0" applyNumberFormat="1" applyFont="1" applyBorder="1" applyAlignment="1">
      <alignment vertical="center"/>
    </xf>
    <xf numFmtId="182" fontId="36" fillId="0" borderId="24" xfId="0" applyNumberFormat="1" applyFont="1" applyBorder="1" applyAlignment="1">
      <alignment horizontal="right"/>
    </xf>
    <xf numFmtId="0" fontId="36" fillId="0" borderId="28" xfId="0" applyFont="1" applyBorder="1" applyAlignment="1">
      <alignment horizontal="left"/>
    </xf>
    <xf numFmtId="168" fontId="36" fillId="0" borderId="29" xfId="1" applyNumberFormat="1" applyFont="1" applyFill="1" applyBorder="1"/>
    <xf numFmtId="168" fontId="28" fillId="0" borderId="0" xfId="0" applyNumberFormat="1" applyFont="1" applyAlignment="1">
      <alignment horizontal="right"/>
    </xf>
    <xf numFmtId="193" fontId="19" fillId="0" borderId="0" xfId="0" applyNumberFormat="1" applyFont="1" applyAlignment="1">
      <alignment horizontal="left"/>
    </xf>
    <xf numFmtId="167" fontId="19" fillId="0" borderId="0" xfId="1" applyNumberFormat="1" applyFont="1"/>
    <xf numFmtId="167" fontId="19" fillId="6" borderId="18" xfId="0" applyNumberFormat="1" applyFont="1" applyFill="1" applyBorder="1"/>
    <xf numFmtId="192" fontId="19" fillId="0" borderId="0" xfId="0" applyNumberFormat="1" applyFont="1"/>
    <xf numFmtId="37" fontId="45" fillId="0" borderId="18" xfId="0" applyNumberFormat="1" applyFont="1" applyBorder="1" applyAlignment="1">
      <alignment vertical="center"/>
    </xf>
    <xf numFmtId="185" fontId="28" fillId="0" borderId="0" xfId="0" applyNumberFormat="1" applyFont="1"/>
    <xf numFmtId="167" fontId="19" fillId="6" borderId="23" xfId="0" applyNumberFormat="1" applyFont="1" applyFill="1" applyBorder="1"/>
    <xf numFmtId="167" fontId="19" fillId="6" borderId="32" xfId="0" applyNumberFormat="1" applyFont="1" applyFill="1" applyBorder="1"/>
    <xf numFmtId="167" fontId="19" fillId="6" borderId="24" xfId="0" applyNumberFormat="1" applyFont="1" applyFill="1" applyBorder="1"/>
    <xf numFmtId="194" fontId="19" fillId="0" borderId="28" xfId="0" applyNumberFormat="1" applyFont="1" applyBorder="1"/>
    <xf numFmtId="194" fontId="19" fillId="0" borderId="18" xfId="0" applyNumberFormat="1" applyFont="1" applyBorder="1"/>
    <xf numFmtId="194" fontId="19" fillId="0" borderId="29" xfId="0" applyNumberFormat="1" applyFont="1" applyBorder="1"/>
    <xf numFmtId="194" fontId="19" fillId="0" borderId="0" xfId="0" applyNumberFormat="1" applyFont="1"/>
    <xf numFmtId="37" fontId="58" fillId="0" borderId="32" xfId="0" applyNumberFormat="1" applyFont="1" applyBorder="1" applyAlignment="1">
      <alignment vertical="center"/>
    </xf>
    <xf numFmtId="171" fontId="19" fillId="0" borderId="24" xfId="1" applyNumberFormat="1" applyFont="1" applyFill="1" applyBorder="1" applyAlignment="1"/>
    <xf numFmtId="49" fontId="19" fillId="0" borderId="28" xfId="0" applyNumberFormat="1" applyFont="1" applyBorder="1" applyAlignment="1">
      <alignment horizontal="left"/>
    </xf>
    <xf numFmtId="165" fontId="19" fillId="0" borderId="29" xfId="0" applyNumberFormat="1" applyFont="1" applyBorder="1" applyAlignment="1">
      <alignment horizontal="right"/>
    </xf>
    <xf numFmtId="167" fontId="59" fillId="0" borderId="0" xfId="0" applyNumberFormat="1" applyFont="1"/>
    <xf numFmtId="171" fontId="56" fillId="0" borderId="0" xfId="1" applyNumberFormat="1" applyFont="1" applyBorder="1"/>
    <xf numFmtId="167" fontId="19" fillId="6" borderId="0" xfId="0" applyNumberFormat="1" applyFont="1" applyFill="1"/>
    <xf numFmtId="49" fontId="36" fillId="0" borderId="0" xfId="0" applyNumberFormat="1" applyFont="1" applyAlignment="1">
      <alignment horizontal="left" indent="1"/>
    </xf>
    <xf numFmtId="167" fontId="31" fillId="0" borderId="18" xfId="0" applyNumberFormat="1" applyFont="1" applyBorder="1" applyAlignment="1">
      <alignment horizontal="right"/>
    </xf>
    <xf numFmtId="164" fontId="35" fillId="0" borderId="18" xfId="0" applyNumberFormat="1" applyFont="1" applyBorder="1" applyAlignment="1">
      <alignment vertical="center"/>
    </xf>
    <xf numFmtId="37" fontId="58" fillId="0" borderId="18" xfId="0" applyNumberFormat="1" applyFont="1" applyBorder="1" applyAlignment="1">
      <alignment vertical="center"/>
    </xf>
    <xf numFmtId="170" fontId="24" fillId="0" borderId="18" xfId="0" applyNumberFormat="1" applyFont="1" applyBorder="1" applyAlignment="1">
      <alignment horizontal="right"/>
    </xf>
    <xf numFmtId="167" fontId="24" fillId="0" borderId="0" xfId="0" applyNumberFormat="1" applyFont="1" applyAlignment="1">
      <alignment horizontal="right"/>
    </xf>
    <xf numFmtId="187" fontId="36" fillId="0" borderId="0" xfId="0" applyNumberFormat="1" applyFont="1"/>
    <xf numFmtId="168" fontId="36" fillId="0" borderId="0" xfId="1" applyNumberFormat="1" applyFont="1" applyFill="1" applyBorder="1" applyAlignment="1">
      <alignment horizontal="right"/>
    </xf>
    <xf numFmtId="168" fontId="19" fillId="0" borderId="0" xfId="1" applyNumberFormat="1" applyFont="1" applyFill="1" applyBorder="1" applyAlignment="1">
      <alignment horizontal="right"/>
    </xf>
    <xf numFmtId="173" fontId="36" fillId="0" borderId="0" xfId="0" quotePrefix="1" applyNumberFormat="1" applyFont="1" applyAlignment="1">
      <alignment horizontal="right"/>
    </xf>
    <xf numFmtId="167" fontId="19" fillId="6" borderId="30" xfId="0" applyNumberFormat="1" applyFont="1" applyFill="1" applyBorder="1"/>
    <xf numFmtId="0" fontId="19" fillId="0" borderId="39" xfId="0" applyFont="1" applyBorder="1" applyAlignment="1">
      <alignment horizontal="left"/>
    </xf>
    <xf numFmtId="167" fontId="19" fillId="6" borderId="31" xfId="0" applyNumberFormat="1" applyFont="1" applyFill="1" applyBorder="1"/>
    <xf numFmtId="170" fontId="36" fillId="0" borderId="0" xfId="0" applyNumberFormat="1" applyFont="1" applyAlignment="1">
      <alignment horizontal="right"/>
    </xf>
    <xf numFmtId="167" fontId="19" fillId="6" borderId="33" xfId="0" applyNumberFormat="1" applyFont="1" applyFill="1" applyBorder="1"/>
    <xf numFmtId="185" fontId="24" fillId="0" borderId="0" xfId="0" applyNumberFormat="1" applyFont="1"/>
    <xf numFmtId="192" fontId="28" fillId="0" borderId="0" xfId="0" applyNumberFormat="1" applyFont="1" applyAlignment="1">
      <alignment horizontal="right"/>
    </xf>
    <xf numFmtId="167" fontId="19" fillId="6" borderId="16" xfId="0" applyNumberFormat="1" applyFont="1" applyFill="1" applyBorder="1" applyAlignment="1">
      <alignment vertical="center"/>
    </xf>
    <xf numFmtId="167" fontId="19" fillId="6" borderId="38" xfId="0" applyNumberFormat="1" applyFont="1" applyFill="1" applyBorder="1" applyAlignment="1">
      <alignment vertical="center"/>
    </xf>
    <xf numFmtId="0" fontId="17" fillId="0" borderId="0" xfId="0" applyFont="1"/>
    <xf numFmtId="0" fontId="61" fillId="0" borderId="0" xfId="0" applyFont="1" applyAlignment="1">
      <alignment horizontal="left" indent="1"/>
    </xf>
    <xf numFmtId="37" fontId="62" fillId="0" borderId="0" xfId="0" applyNumberFormat="1" applyFont="1" applyAlignment="1">
      <alignment vertical="center"/>
    </xf>
    <xf numFmtId="170" fontId="63" fillId="0" borderId="0" xfId="0" applyNumberFormat="1" applyFont="1" applyAlignment="1">
      <alignment horizontal="right"/>
    </xf>
    <xf numFmtId="185" fontId="32" fillId="0" borderId="0" xfId="0" applyNumberFormat="1" applyFont="1"/>
    <xf numFmtId="165" fontId="19" fillId="0" borderId="35" xfId="0" applyNumberFormat="1" applyFont="1" applyBorder="1" applyAlignment="1">
      <alignment horizontal="right"/>
    </xf>
    <xf numFmtId="165" fontId="19" fillId="0" borderId="36" xfId="0" applyNumberFormat="1" applyFont="1" applyBorder="1" applyAlignment="1">
      <alignment horizontal="right"/>
    </xf>
    <xf numFmtId="165" fontId="19" fillId="0" borderId="37" xfId="0" applyNumberFormat="1" applyFont="1" applyBorder="1" applyAlignment="1">
      <alignment horizontal="right"/>
    </xf>
    <xf numFmtId="171" fontId="36" fillId="0" borderId="18" xfId="1" applyNumberFormat="1" applyFont="1" applyFill="1" applyBorder="1"/>
    <xf numFmtId="167" fontId="64" fillId="0" borderId="42" xfId="0" applyNumberFormat="1" applyFont="1" applyBorder="1" applyAlignment="1">
      <alignment horizontal="center"/>
    </xf>
    <xf numFmtId="167" fontId="64" fillId="0" borderId="42" xfId="0" applyNumberFormat="1" applyFont="1" applyBorder="1" applyAlignment="1">
      <alignment horizontal="centerContinuous"/>
    </xf>
    <xf numFmtId="170" fontId="64" fillId="0" borderId="19" xfId="0" applyNumberFormat="1" applyFont="1" applyBorder="1" applyAlignment="1">
      <alignment horizontal="centerContinuous"/>
    </xf>
    <xf numFmtId="167" fontId="64" fillId="0" borderId="43" xfId="0" applyNumberFormat="1" applyFont="1" applyBorder="1" applyAlignment="1">
      <alignment horizontal="center"/>
    </xf>
    <xf numFmtId="0" fontId="65" fillId="0" borderId="42" xfId="0" applyFont="1" applyBorder="1" applyAlignment="1">
      <alignment horizontal="center"/>
    </xf>
    <xf numFmtId="0" fontId="65" fillId="0" borderId="19" xfId="0" applyFont="1" applyBorder="1" applyAlignment="1">
      <alignment horizontal="center"/>
    </xf>
    <xf numFmtId="0" fontId="65" fillId="0" borderId="43" xfId="0" applyFont="1" applyBorder="1" applyAlignment="1">
      <alignment horizontal="center"/>
    </xf>
    <xf numFmtId="168" fontId="4" fillId="0" borderId="24" xfId="1" applyNumberFormat="1" applyFont="1" applyFill="1" applyBorder="1" applyAlignment="1">
      <alignment horizontal="right"/>
    </xf>
    <xf numFmtId="167" fontId="64" fillId="0" borderId="0" xfId="0" applyNumberFormat="1" applyFont="1" applyAlignment="1">
      <alignment horizontal="left"/>
    </xf>
    <xf numFmtId="195" fontId="19" fillId="0" borderId="44" xfId="0" applyNumberFormat="1" applyFont="1" applyBorder="1" applyAlignment="1">
      <alignment horizontal="center"/>
    </xf>
    <xf numFmtId="195" fontId="19" fillId="6" borderId="0" xfId="0" applyNumberFormat="1" applyFont="1" applyFill="1" applyAlignment="1">
      <alignment horizontal="center"/>
    </xf>
    <xf numFmtId="195" fontId="19" fillId="6" borderId="45" xfId="0" applyNumberFormat="1" applyFont="1" applyFill="1" applyBorder="1" applyAlignment="1">
      <alignment horizontal="center"/>
    </xf>
    <xf numFmtId="168" fontId="19" fillId="0" borderId="29" xfId="1" applyNumberFormat="1" applyFont="1" applyFill="1" applyBorder="1" applyAlignment="1">
      <alignment horizontal="right"/>
    </xf>
    <xf numFmtId="195" fontId="19" fillId="6" borderId="46" xfId="0" applyNumberFormat="1" applyFont="1" applyFill="1" applyBorder="1" applyAlignment="1">
      <alignment horizontal="center"/>
    </xf>
    <xf numFmtId="170" fontId="6" fillId="0" borderId="47" xfId="0" applyNumberFormat="1" applyFont="1" applyBorder="1" applyAlignment="1">
      <alignment horizontal="right"/>
    </xf>
    <xf numFmtId="167" fontId="19" fillId="0" borderId="25" xfId="0" applyNumberFormat="1" applyFont="1" applyBorder="1"/>
    <xf numFmtId="196" fontId="66" fillId="0" borderId="0" xfId="1" applyNumberFormat="1" applyFont="1" applyFill="1" applyBorder="1" applyAlignment="1">
      <alignment horizontal="right"/>
    </xf>
    <xf numFmtId="167" fontId="19" fillId="6" borderId="0" xfId="0" applyNumberFormat="1" applyFont="1" applyFill="1" applyAlignment="1">
      <alignment horizontal="right"/>
    </xf>
    <xf numFmtId="167" fontId="19" fillId="6" borderId="18" xfId="0" applyNumberFormat="1" applyFont="1" applyFill="1" applyBorder="1" applyAlignment="1">
      <alignment horizontal="right"/>
    </xf>
    <xf numFmtId="168" fontId="19" fillId="6" borderId="0" xfId="7" applyNumberFormat="1" applyFont="1" applyFill="1" applyBorder="1" applyAlignment="1">
      <alignment horizontal="right"/>
    </xf>
    <xf numFmtId="168" fontId="19" fillId="0" borderId="0" xfId="7" applyNumberFormat="1" applyFont="1" applyFill="1" applyBorder="1" applyAlignment="1">
      <alignment horizontal="right"/>
    </xf>
    <xf numFmtId="181" fontId="19" fillId="6" borderId="0" xfId="0" applyNumberFormat="1" applyFont="1" applyFill="1"/>
    <xf numFmtId="0" fontId="17" fillId="0" borderId="0" xfId="0" applyFont="1" applyAlignment="1">
      <alignment horizontal="center"/>
    </xf>
    <xf numFmtId="0" fontId="19" fillId="0" borderId="23" xfId="0" applyFont="1" applyBorder="1" applyAlignment="1">
      <alignment horizontal="left" indent="1"/>
    </xf>
    <xf numFmtId="0" fontId="17" fillId="0" borderId="32" xfId="0" applyFont="1" applyBorder="1"/>
    <xf numFmtId="182" fontId="32" fillId="6" borderId="32" xfId="0" applyNumberFormat="1" applyFont="1" applyFill="1" applyBorder="1" applyAlignment="1">
      <alignment horizontal="right"/>
    </xf>
    <xf numFmtId="0" fontId="19" fillId="0" borderId="28" xfId="0" applyFont="1" applyBorder="1" applyAlignment="1">
      <alignment horizontal="left" indent="1"/>
    </xf>
    <xf numFmtId="0" fontId="17" fillId="0" borderId="18" xfId="0" applyFont="1" applyBorder="1"/>
    <xf numFmtId="167" fontId="19" fillId="6" borderId="29" xfId="0" applyNumberFormat="1" applyFont="1" applyFill="1" applyBorder="1"/>
    <xf numFmtId="0" fontId="19" fillId="0" borderId="39" xfId="0" applyFont="1" applyBorder="1" applyAlignment="1">
      <alignment horizontal="left" indent="1"/>
    </xf>
    <xf numFmtId="182" fontId="32" fillId="6" borderId="0" xfId="0" applyNumberFormat="1" applyFont="1" applyFill="1" applyAlignment="1">
      <alignment horizontal="right"/>
    </xf>
    <xf numFmtId="167" fontId="19" fillId="6" borderId="40" xfId="0" applyNumberFormat="1" applyFont="1" applyFill="1" applyBorder="1"/>
    <xf numFmtId="0" fontId="41" fillId="0" borderId="0" xfId="0" quotePrefix="1" applyFont="1" applyAlignment="1">
      <alignment horizontal="right"/>
    </xf>
    <xf numFmtId="0" fontId="41" fillId="0" borderId="0" xfId="0" applyFont="1" applyAlignment="1">
      <alignment horizontal="right"/>
    </xf>
    <xf numFmtId="181" fontId="19" fillId="6" borderId="24" xfId="0" applyNumberFormat="1" applyFont="1" applyFill="1" applyBorder="1"/>
    <xf numFmtId="170" fontId="24" fillId="0" borderId="0" xfId="0" applyNumberFormat="1" applyFont="1" applyAlignment="1">
      <alignment horizontal="right"/>
    </xf>
    <xf numFmtId="166" fontId="24" fillId="0" borderId="0" xfId="0" applyNumberFormat="1" applyFont="1" applyAlignment="1">
      <alignment horizontal="right"/>
    </xf>
    <xf numFmtId="172" fontId="34" fillId="0" borderId="0" xfId="0" quotePrefix="1" applyNumberFormat="1" applyFont="1" applyAlignment="1">
      <alignment horizontal="right"/>
    </xf>
    <xf numFmtId="183" fontId="19" fillId="0" borderId="24" xfId="1" applyNumberFormat="1" applyFont="1" applyFill="1" applyBorder="1" applyAlignment="1">
      <alignment horizontal="right"/>
    </xf>
    <xf numFmtId="167" fontId="28" fillId="0" borderId="23" xfId="0" applyNumberFormat="1" applyFont="1" applyBorder="1"/>
    <xf numFmtId="167" fontId="28" fillId="0" borderId="28" xfId="0" applyNumberFormat="1" applyFont="1" applyBorder="1"/>
    <xf numFmtId="167" fontId="19" fillId="6" borderId="34" xfId="0" applyNumberFormat="1" applyFont="1" applyFill="1" applyBorder="1"/>
    <xf numFmtId="167" fontId="64" fillId="0" borderId="30" xfId="0" applyNumberFormat="1" applyFont="1" applyBorder="1" applyAlignment="1">
      <alignment horizontal="center"/>
    </xf>
    <xf numFmtId="167" fontId="64" fillId="0" borderId="31" xfId="0" applyNumberFormat="1" applyFont="1" applyBorder="1" applyAlignment="1">
      <alignment horizontal="center"/>
    </xf>
    <xf numFmtId="181" fontId="19" fillId="6" borderId="33" xfId="7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6" fillId="0" borderId="23" xfId="0" applyFont="1" applyBorder="1" applyAlignment="1">
      <alignment horizontal="left" indent="1"/>
    </xf>
    <xf numFmtId="182" fontId="32" fillId="0" borderId="32" xfId="0" applyNumberFormat="1" applyFont="1" applyBorder="1" applyAlignment="1">
      <alignment horizontal="right"/>
    </xf>
    <xf numFmtId="0" fontId="36" fillId="0" borderId="28" xfId="0" applyFont="1" applyBorder="1" applyAlignment="1">
      <alignment horizontal="left" indent="1"/>
    </xf>
    <xf numFmtId="182" fontId="32" fillId="0" borderId="18" xfId="0" applyNumberFormat="1" applyFont="1" applyBorder="1" applyAlignment="1">
      <alignment horizontal="right"/>
    </xf>
    <xf numFmtId="0" fontId="10" fillId="0" borderId="32" xfId="0" applyFont="1" applyBorder="1"/>
    <xf numFmtId="167" fontId="36" fillId="0" borderId="29" xfId="0" applyNumberFormat="1" applyFont="1" applyBorder="1"/>
    <xf numFmtId="0" fontId="36" fillId="0" borderId="39" xfId="0" applyFont="1" applyBorder="1" applyAlignment="1">
      <alignment horizontal="left" indent="1"/>
    </xf>
    <xf numFmtId="0" fontId="47" fillId="0" borderId="0" xfId="0" quotePrefix="1" applyFont="1" applyAlignment="1">
      <alignment horizontal="right"/>
    </xf>
    <xf numFmtId="0" fontId="47" fillId="0" borderId="18" xfId="0" applyFont="1" applyBorder="1" applyAlignment="1">
      <alignment horizontal="right"/>
    </xf>
    <xf numFmtId="181" fontId="19" fillId="0" borderId="29" xfId="0" applyNumberFormat="1" applyFont="1" applyBorder="1"/>
    <xf numFmtId="0" fontId="3" fillId="0" borderId="0" xfId="0" applyFont="1" applyAlignment="1">
      <alignment horizontal="left" indent="2"/>
    </xf>
    <xf numFmtId="167" fontId="0" fillId="0" borderId="0" xfId="0" applyNumberFormat="1"/>
    <xf numFmtId="0" fontId="69" fillId="0" borderId="0" xfId="0" applyFont="1" applyAlignment="1">
      <alignment horizontal="left" indent="1"/>
    </xf>
    <xf numFmtId="0" fontId="70" fillId="0" borderId="0" xfId="0" applyFont="1"/>
    <xf numFmtId="0" fontId="0" fillId="0" borderId="49" xfId="0" applyBorder="1"/>
    <xf numFmtId="171" fontId="4" fillId="3" borderId="2" xfId="0" applyNumberFormat="1" applyFont="1" applyFill="1" applyBorder="1"/>
    <xf numFmtId="171" fontId="4" fillId="3" borderId="3" xfId="0" applyNumberFormat="1" applyFont="1" applyFill="1" applyBorder="1"/>
    <xf numFmtId="171" fontId="4" fillId="3" borderId="4" xfId="0" applyNumberFormat="1" applyFont="1" applyFill="1" applyBorder="1"/>
    <xf numFmtId="171" fontId="36" fillId="6" borderId="0" xfId="0" applyNumberFormat="1" applyFont="1" applyFill="1" applyAlignment="1">
      <alignment horizontal="right"/>
    </xf>
    <xf numFmtId="171" fontId="36" fillId="6" borderId="48" xfId="0" applyNumberFormat="1" applyFont="1" applyFill="1" applyBorder="1" applyAlignment="1">
      <alignment horizontal="right"/>
    </xf>
    <xf numFmtId="167" fontId="19" fillId="0" borderId="49" xfId="0" applyNumberFormat="1" applyFont="1" applyBorder="1"/>
    <xf numFmtId="171" fontId="36" fillId="6" borderId="49" xfId="0" applyNumberFormat="1" applyFont="1" applyFill="1" applyBorder="1" applyAlignment="1">
      <alignment horizontal="right"/>
    </xf>
    <xf numFmtId="167" fontId="0" fillId="0" borderId="50" xfId="0" applyNumberFormat="1" applyBorder="1"/>
    <xf numFmtId="10" fontId="36" fillId="0" borderId="0" xfId="0" applyNumberFormat="1" applyFont="1" applyAlignment="1">
      <alignment horizontal="right"/>
    </xf>
    <xf numFmtId="171" fontId="71" fillId="0" borderId="5" xfId="0" applyNumberFormat="1" applyFont="1" applyBorder="1"/>
    <xf numFmtId="171" fontId="71" fillId="0" borderId="6" xfId="0" applyNumberFormat="1" applyFont="1" applyBorder="1"/>
    <xf numFmtId="171" fontId="71" fillId="0" borderId="7" xfId="0" applyNumberFormat="1" applyFont="1" applyBorder="1"/>
    <xf numFmtId="0" fontId="71" fillId="0" borderId="8" xfId="0" applyFont="1" applyBorder="1"/>
    <xf numFmtId="0" fontId="71" fillId="0" borderId="9" xfId="0" applyFont="1" applyBorder="1"/>
    <xf numFmtId="0" fontId="71" fillId="0" borderId="10" xfId="0" applyFont="1" applyBorder="1"/>
    <xf numFmtId="0" fontId="71" fillId="0" borderId="11" xfId="0" applyFont="1" applyBorder="1"/>
    <xf numFmtId="0" fontId="71" fillId="0" borderId="0" xfId="0" applyFont="1"/>
    <xf numFmtId="0" fontId="71" fillId="0" borderId="12" xfId="0" applyFont="1" applyBorder="1"/>
    <xf numFmtId="0" fontId="71" fillId="0" borderId="13" xfId="0" applyFont="1" applyBorder="1"/>
    <xf numFmtId="0" fontId="71" fillId="0" borderId="14" xfId="0" applyFont="1" applyBorder="1"/>
    <xf numFmtId="0" fontId="71" fillId="0" borderId="15" xfId="0" applyFont="1" applyBorder="1"/>
    <xf numFmtId="171" fontId="71" fillId="0" borderId="8" xfId="1" applyNumberFormat="1" applyFont="1" applyBorder="1"/>
    <xf numFmtId="171" fontId="71" fillId="0" borderId="9" xfId="1" applyNumberFormat="1" applyFont="1" applyBorder="1"/>
    <xf numFmtId="171" fontId="71" fillId="0" borderId="10" xfId="1" applyNumberFormat="1" applyFont="1" applyBorder="1"/>
    <xf numFmtId="171" fontId="71" fillId="0" borderId="11" xfId="1" applyNumberFormat="1" applyFont="1" applyBorder="1"/>
    <xf numFmtId="171" fontId="71" fillId="0" borderId="0" xfId="0" applyNumberFormat="1" applyFont="1"/>
    <xf numFmtId="171" fontId="71" fillId="0" borderId="12" xfId="0" applyNumberFormat="1" applyFont="1" applyBorder="1"/>
    <xf numFmtId="171" fontId="71" fillId="0" borderId="13" xfId="0" applyNumberFormat="1" applyFont="1" applyBorder="1"/>
    <xf numFmtId="171" fontId="71" fillId="0" borderId="14" xfId="0" applyNumberFormat="1" applyFont="1" applyBorder="1"/>
    <xf numFmtId="171" fontId="71" fillId="0" borderId="15" xfId="0" applyNumberFormat="1" applyFont="1" applyBorder="1"/>
    <xf numFmtId="179" fontId="71" fillId="0" borderId="0" xfId="0" applyNumberFormat="1" applyFont="1" applyAlignment="1">
      <alignment horizontal="right" vertical="center"/>
    </xf>
    <xf numFmtId="168" fontId="71" fillId="0" borderId="25" xfId="0" applyNumberFormat="1" applyFont="1" applyBorder="1"/>
    <xf numFmtId="168" fontId="71" fillId="0" borderId="26" xfId="0" applyNumberFormat="1" applyFont="1" applyBorder="1"/>
    <xf numFmtId="167" fontId="71" fillId="0" borderId="23" xfId="0" applyNumberFormat="1" applyFont="1" applyBorder="1"/>
    <xf numFmtId="167" fontId="71" fillId="0" borderId="32" xfId="0" applyNumberFormat="1" applyFont="1" applyBorder="1"/>
    <xf numFmtId="167" fontId="71" fillId="0" borderId="24" xfId="0" applyNumberFormat="1" applyFont="1" applyBorder="1"/>
    <xf numFmtId="0" fontId="38" fillId="4" borderId="0" xfId="0" applyFont="1" applyFill="1" applyAlignment="1">
      <alignment vertical="center"/>
    </xf>
    <xf numFmtId="170" fontId="73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185" fontId="28" fillId="6" borderId="0" xfId="0" applyNumberFormat="1" applyFont="1" applyFill="1" applyAlignment="1">
      <alignment horizontal="center"/>
    </xf>
    <xf numFmtId="164" fontId="3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Continuous"/>
    </xf>
    <xf numFmtId="0" fontId="7" fillId="0" borderId="0" xfId="0" applyFont="1" applyAlignment="1">
      <alignment horizontal="left" vertical="center"/>
    </xf>
    <xf numFmtId="0" fontId="11" fillId="0" borderId="19" xfId="0" applyFont="1" applyBorder="1"/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168" fontId="19" fillId="0" borderId="0" xfId="1" applyNumberFormat="1" applyFont="1" applyFill="1" applyBorder="1" applyAlignment="1">
      <alignment horizontal="right" vertical="center"/>
    </xf>
    <xf numFmtId="185" fontId="19" fillId="6" borderId="0" xfId="0" applyNumberFormat="1" applyFont="1" applyFill="1" applyAlignment="1">
      <alignment horizontal="center"/>
    </xf>
    <xf numFmtId="0" fontId="75" fillId="0" borderId="0" xfId="0" applyFont="1"/>
    <xf numFmtId="0" fontId="28" fillId="0" borderId="0" xfId="0" applyFont="1" applyAlignment="1">
      <alignment vertical="center"/>
    </xf>
    <xf numFmtId="0" fontId="28" fillId="6" borderId="0" xfId="0" applyFont="1" applyFill="1" applyAlignment="1">
      <alignment horizontal="center" vertical="center"/>
    </xf>
    <xf numFmtId="185" fontId="19" fillId="6" borderId="23" xfId="0" applyNumberFormat="1" applyFont="1" applyFill="1" applyBorder="1" applyAlignment="1">
      <alignment horizontal="center"/>
    </xf>
    <xf numFmtId="185" fontId="19" fillId="6" borderId="32" xfId="0" applyNumberFormat="1" applyFont="1" applyFill="1" applyBorder="1" applyAlignment="1">
      <alignment horizontal="center"/>
    </xf>
    <xf numFmtId="192" fontId="19" fillId="6" borderId="24" xfId="0" applyNumberFormat="1" applyFont="1" applyFill="1" applyBorder="1" applyAlignment="1">
      <alignment horizontal="center"/>
    </xf>
    <xf numFmtId="170" fontId="76" fillId="0" borderId="0" xfId="0" applyNumberFormat="1" applyFont="1" applyAlignment="1">
      <alignment horizontal="right"/>
    </xf>
    <xf numFmtId="37" fontId="77" fillId="0" borderId="0" xfId="0" applyNumberFormat="1" applyFont="1" applyAlignment="1">
      <alignment vertical="center"/>
    </xf>
    <xf numFmtId="0" fontId="37" fillId="0" borderId="0" xfId="0" quotePrefix="1" applyFont="1" applyAlignment="1">
      <alignment horizontal="center" vertical="center"/>
    </xf>
    <xf numFmtId="167" fontId="19" fillId="0" borderId="0" xfId="7" applyNumberFormat="1" applyFont="1" applyBorder="1" applyAlignment="1">
      <alignment horizontal="right" vertical="center"/>
    </xf>
    <xf numFmtId="185" fontId="19" fillId="6" borderId="39" xfId="0" applyNumberFormat="1" applyFont="1" applyFill="1" applyBorder="1" applyAlignment="1">
      <alignment horizontal="center"/>
    </xf>
    <xf numFmtId="192" fontId="19" fillId="6" borderId="40" xfId="0" applyNumberFormat="1" applyFont="1" applyFill="1" applyBorder="1" applyAlignment="1">
      <alignment horizontal="center"/>
    </xf>
    <xf numFmtId="0" fontId="72" fillId="0" borderId="0" xfId="0" applyFont="1" applyAlignment="1">
      <alignment horizontal="left"/>
    </xf>
    <xf numFmtId="185" fontId="19" fillId="6" borderId="28" xfId="0" applyNumberFormat="1" applyFont="1" applyFill="1" applyBorder="1" applyAlignment="1">
      <alignment horizontal="center"/>
    </xf>
    <xf numFmtId="185" fontId="19" fillId="6" borderId="18" xfId="0" applyNumberFormat="1" applyFont="1" applyFill="1" applyBorder="1" applyAlignment="1">
      <alignment horizontal="center"/>
    </xf>
    <xf numFmtId="192" fontId="19" fillId="6" borderId="29" xfId="0" applyNumberFormat="1" applyFont="1" applyFill="1" applyBorder="1" applyAlignment="1">
      <alignment horizontal="center"/>
    </xf>
    <xf numFmtId="0" fontId="78" fillId="0" borderId="0" xfId="0" applyFont="1"/>
    <xf numFmtId="0" fontId="35" fillId="0" borderId="0" xfId="0" quotePrefix="1" applyFont="1" applyAlignment="1">
      <alignment horizontal="center" vertical="center"/>
    </xf>
    <xf numFmtId="181" fontId="19" fillId="0" borderId="0" xfId="0" applyNumberFormat="1" applyFont="1" applyAlignment="1">
      <alignment horizontal="right"/>
    </xf>
    <xf numFmtId="171" fontId="19" fillId="0" borderId="0" xfId="1" applyNumberFormat="1" applyFont="1" applyFill="1" applyBorder="1" applyAlignment="1">
      <alignment vertical="center"/>
    </xf>
    <xf numFmtId="0" fontId="7" fillId="0" borderId="0" xfId="0" applyFont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0" fontId="17" fillId="0" borderId="0" xfId="0" applyFont="1" applyAlignment="1">
      <alignment horizontal="centerContinuous"/>
    </xf>
    <xf numFmtId="0" fontId="17" fillId="0" borderId="19" xfId="0" applyFont="1" applyBorder="1"/>
    <xf numFmtId="0" fontId="10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2" fillId="0" borderId="0" xfId="0" applyFont="1" applyAlignment="1">
      <alignment horizontal="centerContinuous" vertical="center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centerContinuous" vertical="center"/>
    </xf>
    <xf numFmtId="168" fontId="32" fillId="0" borderId="0" xfId="1" applyNumberFormat="1" applyFont="1" applyFill="1" applyBorder="1" applyAlignment="1">
      <alignment horizontal="right" vertical="center"/>
    </xf>
    <xf numFmtId="192" fontId="19" fillId="0" borderId="0" xfId="0" applyNumberFormat="1" applyFont="1" applyAlignment="1">
      <alignment horizontal="right"/>
    </xf>
    <xf numFmtId="167" fontId="19" fillId="6" borderId="23" xfId="7" applyNumberFormat="1" applyFont="1" applyFill="1" applyBorder="1" applyAlignment="1">
      <alignment vertical="center"/>
    </xf>
    <xf numFmtId="167" fontId="19" fillId="6" borderId="32" xfId="7" applyNumberFormat="1" applyFont="1" applyFill="1" applyBorder="1" applyAlignment="1">
      <alignment vertical="center"/>
    </xf>
    <xf numFmtId="167" fontId="19" fillId="6" borderId="24" xfId="7" applyNumberFormat="1" applyFont="1" applyFill="1" applyBorder="1" applyAlignment="1">
      <alignment vertical="center"/>
    </xf>
    <xf numFmtId="181" fontId="19" fillId="6" borderId="23" xfId="7" applyNumberFormat="1" applyFont="1" applyFill="1" applyBorder="1" applyAlignment="1">
      <alignment vertical="center"/>
    </xf>
    <xf numFmtId="181" fontId="19" fillId="6" borderId="32" xfId="7" applyNumberFormat="1" applyFont="1" applyFill="1" applyBorder="1" applyAlignment="1">
      <alignment vertical="center"/>
    </xf>
    <xf numFmtId="181" fontId="19" fillId="6" borderId="24" xfId="7" applyNumberFormat="1" applyFont="1" applyFill="1" applyBorder="1" applyAlignment="1">
      <alignment vertical="center"/>
    </xf>
    <xf numFmtId="167" fontId="19" fillId="6" borderId="39" xfId="7" applyNumberFormat="1" applyFont="1" applyFill="1" applyBorder="1" applyAlignment="1">
      <alignment vertical="center"/>
    </xf>
    <xf numFmtId="167" fontId="19" fillId="6" borderId="0" xfId="7" applyNumberFormat="1" applyFont="1" applyFill="1" applyAlignment="1">
      <alignment vertical="center"/>
    </xf>
    <xf numFmtId="167" fontId="19" fillId="6" borderId="40" xfId="7" applyNumberFormat="1" applyFont="1" applyFill="1" applyBorder="1" applyAlignment="1">
      <alignment vertical="center"/>
    </xf>
    <xf numFmtId="181" fontId="19" fillId="6" borderId="39" xfId="7" applyNumberFormat="1" applyFont="1" applyFill="1" applyBorder="1" applyAlignment="1">
      <alignment vertical="center"/>
    </xf>
    <xf numFmtId="181" fontId="19" fillId="6" borderId="0" xfId="7" applyNumberFormat="1" applyFont="1" applyFill="1" applyAlignment="1">
      <alignment vertical="center"/>
    </xf>
    <xf numFmtId="181" fontId="19" fillId="6" borderId="40" xfId="7" applyNumberFormat="1" applyFont="1" applyFill="1" applyBorder="1" applyAlignment="1">
      <alignment vertical="center"/>
    </xf>
    <xf numFmtId="167" fontId="24" fillId="6" borderId="51" xfId="7" applyNumberFormat="1" applyFont="1" applyFill="1" applyBorder="1" applyAlignment="1">
      <alignment vertical="center"/>
    </xf>
    <xf numFmtId="181" fontId="24" fillId="6" borderId="51" xfId="7" applyNumberFormat="1" applyFont="1" applyFill="1" applyBorder="1" applyAlignment="1">
      <alignment vertical="center"/>
    </xf>
    <xf numFmtId="167" fontId="19" fillId="6" borderId="28" xfId="7" applyNumberFormat="1" applyFont="1" applyFill="1" applyBorder="1" applyAlignment="1">
      <alignment vertical="center"/>
    </xf>
    <xf numFmtId="167" fontId="19" fillId="6" borderId="18" xfId="7" applyNumberFormat="1" applyFont="1" applyFill="1" applyBorder="1" applyAlignment="1">
      <alignment vertical="center"/>
    </xf>
    <xf numFmtId="167" fontId="19" fillId="6" borderId="29" xfId="7" applyNumberFormat="1" applyFont="1" applyFill="1" applyBorder="1" applyAlignment="1">
      <alignment vertical="center"/>
    </xf>
    <xf numFmtId="181" fontId="19" fillId="6" borderId="28" xfId="7" applyNumberFormat="1" applyFont="1" applyFill="1" applyBorder="1" applyAlignment="1">
      <alignment vertical="center"/>
    </xf>
    <xf numFmtId="181" fontId="19" fillId="6" borderId="18" xfId="7" applyNumberFormat="1" applyFont="1" applyFill="1" applyBorder="1" applyAlignment="1">
      <alignment vertical="center"/>
    </xf>
    <xf numFmtId="181" fontId="19" fillId="6" borderId="29" xfId="7" applyNumberFormat="1" applyFont="1" applyFill="1" applyBorder="1" applyAlignment="1">
      <alignment vertical="center"/>
    </xf>
    <xf numFmtId="169" fontId="30" fillId="0" borderId="0" xfId="5" applyNumberFormat="1" applyFont="1" applyAlignment="1" applyProtection="1">
      <alignment horizontal="right" vertical="center"/>
      <protection hidden="1"/>
    </xf>
    <xf numFmtId="185" fontId="19" fillId="0" borderId="0" xfId="0" applyNumberFormat="1" applyFont="1" applyAlignment="1">
      <alignment horizontal="right"/>
    </xf>
    <xf numFmtId="168" fontId="32" fillId="0" borderId="18" xfId="1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center" vertical="center" textRotation="90"/>
    </xf>
    <xf numFmtId="167" fontId="19" fillId="6" borderId="0" xfId="7" applyNumberFormat="1" applyFont="1" applyFill="1" applyBorder="1" applyAlignment="1">
      <alignment vertical="center"/>
    </xf>
    <xf numFmtId="168" fontId="19" fillId="6" borderId="23" xfId="7" applyNumberFormat="1" applyFont="1" applyFill="1" applyBorder="1" applyAlignment="1">
      <alignment horizontal="right" vertical="center"/>
    </xf>
    <xf numFmtId="168" fontId="19" fillId="6" borderId="32" xfId="7" applyNumberFormat="1" applyFont="1" applyFill="1" applyBorder="1" applyAlignment="1">
      <alignment horizontal="right" vertical="center"/>
    </xf>
    <xf numFmtId="168" fontId="19" fillId="6" borderId="24" xfId="7" applyNumberFormat="1" applyFont="1" applyFill="1" applyBorder="1" applyAlignment="1">
      <alignment horizontal="right" vertical="center"/>
    </xf>
    <xf numFmtId="168" fontId="19" fillId="6" borderId="39" xfId="7" applyNumberFormat="1" applyFont="1" applyFill="1" applyBorder="1" applyAlignment="1">
      <alignment horizontal="right" vertical="center"/>
    </xf>
    <xf numFmtId="168" fontId="19" fillId="6" borderId="0" xfId="7" applyNumberFormat="1" applyFont="1" applyFill="1" applyAlignment="1">
      <alignment horizontal="right" vertical="center"/>
    </xf>
    <xf numFmtId="168" fontId="19" fillId="6" borderId="40" xfId="7" applyNumberFormat="1" applyFont="1" applyFill="1" applyBorder="1" applyAlignment="1">
      <alignment horizontal="right" vertical="center"/>
    </xf>
    <xf numFmtId="168" fontId="24" fillId="6" borderId="51" xfId="7" applyNumberFormat="1" applyFont="1" applyFill="1" applyBorder="1" applyAlignment="1">
      <alignment horizontal="right" vertical="center"/>
    </xf>
    <xf numFmtId="168" fontId="19" fillId="6" borderId="28" xfId="7" applyNumberFormat="1" applyFont="1" applyFill="1" applyBorder="1" applyAlignment="1">
      <alignment horizontal="right" vertical="center"/>
    </xf>
    <xf numFmtId="168" fontId="19" fillId="6" borderId="18" xfId="7" applyNumberFormat="1" applyFont="1" applyFill="1" applyBorder="1" applyAlignment="1">
      <alignment horizontal="right" vertical="center"/>
    </xf>
    <xf numFmtId="168" fontId="19" fillId="6" borderId="29" xfId="7" applyNumberFormat="1" applyFont="1" applyFill="1" applyBorder="1" applyAlignment="1">
      <alignment horizontal="right" vertical="center"/>
    </xf>
    <xf numFmtId="167" fontId="80" fillId="0" borderId="0" xfId="7" applyNumberFormat="1" applyFont="1" applyBorder="1" applyAlignment="1">
      <alignment vertical="center"/>
    </xf>
    <xf numFmtId="0" fontId="80" fillId="0" borderId="0" xfId="0" applyFont="1" applyAlignment="1">
      <alignment horizontal="center" vertical="center" textRotation="90"/>
    </xf>
    <xf numFmtId="168" fontId="81" fillId="0" borderId="0" xfId="1" applyNumberFormat="1" applyFont="1" applyFill="1" applyBorder="1" applyAlignment="1">
      <alignment horizontal="right" vertical="center"/>
    </xf>
    <xf numFmtId="168" fontId="80" fillId="0" borderId="0" xfId="7" applyNumberFormat="1" applyFont="1" applyBorder="1" applyAlignment="1">
      <alignment horizontal="right" vertical="center"/>
    </xf>
    <xf numFmtId="0" fontId="82" fillId="0" borderId="0" xfId="0" applyFont="1" applyAlignment="1">
      <alignment vertical="center"/>
    </xf>
    <xf numFmtId="167" fontId="19" fillId="0" borderId="0" xfId="7" applyNumberFormat="1" applyFont="1" applyBorder="1" applyAlignment="1">
      <alignment vertical="center"/>
    </xf>
    <xf numFmtId="168" fontId="19" fillId="0" borderId="0" xfId="7" applyNumberFormat="1" applyFont="1" applyBorder="1" applyAlignment="1">
      <alignment horizontal="right" vertical="center"/>
    </xf>
    <xf numFmtId="183" fontId="19" fillId="0" borderId="0" xfId="1" applyNumberFormat="1" applyFont="1" applyFill="1" applyBorder="1" applyAlignment="1">
      <alignment horizontal="right" vertical="center"/>
    </xf>
    <xf numFmtId="185" fontId="19" fillId="0" borderId="32" xfId="0" applyNumberFormat="1" applyFont="1" applyBorder="1" applyAlignment="1">
      <alignment horizontal="center"/>
    </xf>
    <xf numFmtId="192" fontId="19" fillId="0" borderId="24" xfId="0" applyNumberFormat="1" applyFont="1" applyBorder="1" applyAlignment="1">
      <alignment horizontal="center"/>
    </xf>
    <xf numFmtId="167" fontId="19" fillId="0" borderId="0" xfId="7" applyNumberFormat="1" applyFont="1" applyFill="1" applyBorder="1" applyAlignment="1">
      <alignment horizontal="right" vertical="center"/>
    </xf>
    <xf numFmtId="185" fontId="19" fillId="0" borderId="0" xfId="0" applyNumberFormat="1" applyFont="1" applyAlignment="1">
      <alignment horizontal="center"/>
    </xf>
    <xf numFmtId="192" fontId="19" fillId="0" borderId="40" xfId="0" applyNumberFormat="1" applyFont="1" applyBorder="1" applyAlignment="1">
      <alignment horizontal="center"/>
    </xf>
    <xf numFmtId="185" fontId="19" fillId="0" borderId="18" xfId="0" applyNumberFormat="1" applyFont="1" applyBorder="1" applyAlignment="1">
      <alignment horizontal="center"/>
    </xf>
    <xf numFmtId="192" fontId="19" fillId="0" borderId="29" xfId="0" applyNumberFormat="1" applyFont="1" applyBorder="1" applyAlignment="1">
      <alignment horizontal="center"/>
    </xf>
    <xf numFmtId="183" fontId="32" fillId="0" borderId="0" xfId="1" applyNumberFormat="1" applyFont="1" applyFill="1" applyBorder="1" applyAlignment="1">
      <alignment horizontal="right" vertical="center"/>
    </xf>
    <xf numFmtId="181" fontId="19" fillId="0" borderId="23" xfId="7" applyNumberFormat="1" applyFont="1" applyFill="1" applyBorder="1" applyAlignment="1">
      <alignment vertical="center"/>
    </xf>
    <xf numFmtId="181" fontId="19" fillId="0" borderId="32" xfId="7" applyNumberFormat="1" applyFont="1" applyFill="1" applyBorder="1" applyAlignment="1">
      <alignment vertical="center"/>
    </xf>
    <xf numFmtId="181" fontId="19" fillId="0" borderId="24" xfId="7" applyNumberFormat="1" applyFont="1" applyFill="1" applyBorder="1" applyAlignment="1">
      <alignment vertical="center"/>
    </xf>
    <xf numFmtId="181" fontId="19" fillId="0" borderId="39" xfId="7" applyNumberFormat="1" applyFont="1" applyFill="1" applyBorder="1" applyAlignment="1">
      <alignment vertical="center"/>
    </xf>
    <xf numFmtId="181" fontId="19" fillId="0" borderId="0" xfId="7" applyNumberFormat="1" applyFont="1" applyFill="1" applyAlignment="1">
      <alignment vertical="center"/>
    </xf>
    <xf numFmtId="181" fontId="19" fillId="0" borderId="40" xfId="7" applyNumberFormat="1" applyFont="1" applyFill="1" applyBorder="1" applyAlignment="1">
      <alignment vertical="center"/>
    </xf>
    <xf numFmtId="181" fontId="24" fillId="0" borderId="51" xfId="7" applyNumberFormat="1" applyFont="1" applyFill="1" applyBorder="1" applyAlignment="1">
      <alignment vertical="center"/>
    </xf>
    <xf numFmtId="181" fontId="19" fillId="0" borderId="28" xfId="7" applyNumberFormat="1" applyFont="1" applyFill="1" applyBorder="1" applyAlignment="1">
      <alignment vertical="center"/>
    </xf>
    <xf numFmtId="181" fontId="19" fillId="0" borderId="18" xfId="7" applyNumberFormat="1" applyFont="1" applyFill="1" applyBorder="1" applyAlignment="1">
      <alignment vertical="center"/>
    </xf>
    <xf numFmtId="181" fontId="19" fillId="0" borderId="29" xfId="7" applyNumberFormat="1" applyFont="1" applyFill="1" applyBorder="1" applyAlignment="1">
      <alignment vertical="center"/>
    </xf>
    <xf numFmtId="167" fontId="19" fillId="0" borderId="23" xfId="7" applyNumberFormat="1" applyFont="1" applyFill="1" applyBorder="1" applyAlignment="1">
      <alignment vertical="center"/>
    </xf>
    <xf numFmtId="167" fontId="19" fillId="0" borderId="32" xfId="7" applyNumberFormat="1" applyFont="1" applyFill="1" applyBorder="1" applyAlignment="1">
      <alignment vertical="center"/>
    </xf>
    <xf numFmtId="167" fontId="19" fillId="0" borderId="24" xfId="7" applyNumberFormat="1" applyFont="1" applyFill="1" applyBorder="1" applyAlignment="1">
      <alignment vertical="center"/>
    </xf>
    <xf numFmtId="168" fontId="19" fillId="0" borderId="23" xfId="7" applyNumberFormat="1" applyFont="1" applyFill="1" applyBorder="1" applyAlignment="1">
      <alignment horizontal="right" vertical="center"/>
    </xf>
    <xf numFmtId="168" fontId="19" fillId="0" borderId="32" xfId="7" applyNumberFormat="1" applyFont="1" applyFill="1" applyBorder="1" applyAlignment="1">
      <alignment horizontal="right" vertical="center"/>
    </xf>
    <xf numFmtId="168" fontId="19" fillId="0" borderId="24" xfId="7" applyNumberFormat="1" applyFont="1" applyFill="1" applyBorder="1" applyAlignment="1">
      <alignment horizontal="right" vertical="center"/>
    </xf>
    <xf numFmtId="167" fontId="19" fillId="0" borderId="39" xfId="7" applyNumberFormat="1" applyFont="1" applyFill="1" applyBorder="1" applyAlignment="1">
      <alignment vertical="center"/>
    </xf>
    <xf numFmtId="167" fontId="19" fillId="0" borderId="0" xfId="7" applyNumberFormat="1" applyFont="1" applyFill="1" applyAlignment="1">
      <alignment vertical="center"/>
    </xf>
    <xf numFmtId="167" fontId="19" fillId="0" borderId="40" xfId="7" applyNumberFormat="1" applyFont="1" applyFill="1" applyBorder="1" applyAlignment="1">
      <alignment vertical="center"/>
    </xf>
    <xf numFmtId="168" fontId="19" fillId="0" borderId="39" xfId="7" applyNumberFormat="1" applyFont="1" applyFill="1" applyBorder="1" applyAlignment="1">
      <alignment horizontal="right" vertical="center"/>
    </xf>
    <xf numFmtId="168" fontId="19" fillId="0" borderId="0" xfId="7" applyNumberFormat="1" applyFont="1" applyFill="1" applyAlignment="1">
      <alignment horizontal="right" vertical="center"/>
    </xf>
    <xf numFmtId="168" fontId="19" fillId="0" borderId="40" xfId="7" applyNumberFormat="1" applyFont="1" applyFill="1" applyBorder="1" applyAlignment="1">
      <alignment horizontal="right" vertical="center"/>
    </xf>
    <xf numFmtId="167" fontId="24" fillId="0" borderId="51" xfId="7" applyNumberFormat="1" applyFont="1" applyFill="1" applyBorder="1" applyAlignment="1">
      <alignment vertical="center"/>
    </xf>
    <xf numFmtId="168" fontId="24" fillId="0" borderId="51" xfId="7" applyNumberFormat="1" applyFont="1" applyFill="1" applyBorder="1" applyAlignment="1">
      <alignment horizontal="right" vertical="center"/>
    </xf>
    <xf numFmtId="167" fontId="19" fillId="0" borderId="28" xfId="7" applyNumberFormat="1" applyFont="1" applyFill="1" applyBorder="1" applyAlignment="1">
      <alignment vertical="center"/>
    </xf>
    <xf numFmtId="167" fontId="19" fillId="0" borderId="18" xfId="7" applyNumberFormat="1" applyFont="1" applyFill="1" applyBorder="1" applyAlignment="1">
      <alignment vertical="center"/>
    </xf>
    <xf numFmtId="167" fontId="19" fillId="0" borderId="29" xfId="7" applyNumberFormat="1" applyFont="1" applyFill="1" applyBorder="1" applyAlignment="1">
      <alignment vertical="center"/>
    </xf>
    <xf numFmtId="168" fontId="19" fillId="0" borderId="28" xfId="7" applyNumberFormat="1" applyFont="1" applyFill="1" applyBorder="1" applyAlignment="1">
      <alignment horizontal="right" vertical="center"/>
    </xf>
    <xf numFmtId="168" fontId="19" fillId="0" borderId="18" xfId="7" applyNumberFormat="1" applyFont="1" applyFill="1" applyBorder="1" applyAlignment="1">
      <alignment horizontal="right" vertical="center"/>
    </xf>
    <xf numFmtId="168" fontId="19" fillId="0" borderId="29" xfId="7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167" fontId="19" fillId="0" borderId="0" xfId="7" applyNumberFormat="1" applyFont="1" applyFill="1" applyBorder="1" applyAlignment="1">
      <alignment vertical="center"/>
    </xf>
    <xf numFmtId="0" fontId="17" fillId="5" borderId="0" xfId="3" applyFont="1" applyFill="1"/>
    <xf numFmtId="0" fontId="11" fillId="5" borderId="0" xfId="0" applyFont="1" applyFill="1"/>
    <xf numFmtId="0" fontId="12" fillId="0" borderId="0" xfId="3" applyFont="1" applyProtection="1">
      <protection locked="0"/>
    </xf>
    <xf numFmtId="0" fontId="13" fillId="0" borderId="0" xfId="3" applyFont="1" applyAlignment="1">
      <alignment horizontal="right"/>
    </xf>
    <xf numFmtId="0" fontId="17" fillId="0" borderId="0" xfId="3" applyFont="1" applyProtection="1">
      <protection locked="0"/>
    </xf>
    <xf numFmtId="0" fontId="18" fillId="0" borderId="0" xfId="3" applyFont="1"/>
    <xf numFmtId="0" fontId="19" fillId="0" borderId="0" xfId="3" applyFont="1"/>
    <xf numFmtId="0" fontId="13" fillId="0" borderId="0" xfId="3" applyFont="1" applyAlignment="1" applyProtection="1">
      <alignment horizontal="left"/>
      <protection locked="0"/>
    </xf>
    <xf numFmtId="0" fontId="15" fillId="0" borderId="0" xfId="0" applyFont="1"/>
    <xf numFmtId="164" fontId="15" fillId="0" borderId="0" xfId="3" applyNumberFormat="1" applyFont="1"/>
    <xf numFmtId="0" fontId="21" fillId="0" borderId="0" xfId="3" applyFont="1"/>
    <xf numFmtId="164" fontId="22" fillId="0" borderId="0" xfId="3" applyNumberFormat="1" applyFont="1"/>
    <xf numFmtId="0" fontId="23" fillId="0" borderId="0" xfId="3" applyFont="1"/>
    <xf numFmtId="0" fontId="11" fillId="5" borderId="52" xfId="0" applyFont="1" applyFill="1" applyBorder="1"/>
    <xf numFmtId="0" fontId="11" fillId="5" borderId="53" xfId="0" applyFont="1" applyFill="1" applyBorder="1"/>
    <xf numFmtId="0" fontId="17" fillId="5" borderId="53" xfId="3" applyFont="1" applyFill="1" applyBorder="1"/>
    <xf numFmtId="0" fontId="17" fillId="5" borderId="54" xfId="3" applyFont="1" applyFill="1" applyBorder="1"/>
    <xf numFmtId="0" fontId="11" fillId="5" borderId="55" xfId="0" applyFont="1" applyFill="1" applyBorder="1"/>
    <xf numFmtId="0" fontId="17" fillId="5" borderId="56" xfId="3" applyFont="1" applyFill="1" applyBorder="1"/>
    <xf numFmtId="0" fontId="17" fillId="0" borderId="55" xfId="3" applyFont="1" applyBorder="1"/>
    <xf numFmtId="0" fontId="17" fillId="0" borderId="56" xfId="3" applyFont="1" applyBorder="1"/>
    <xf numFmtId="0" fontId="17" fillId="0" borderId="57" xfId="3" applyFont="1" applyBorder="1"/>
    <xf numFmtId="0" fontId="17" fillId="0" borderId="58" xfId="3" applyFont="1" applyBorder="1"/>
    <xf numFmtId="0" fontId="17" fillId="0" borderId="59" xfId="3" applyFont="1" applyBorder="1"/>
    <xf numFmtId="0" fontId="13" fillId="0" borderId="60" xfId="3" applyFont="1" applyBorder="1" applyAlignment="1" applyProtection="1">
      <alignment horizontal="left"/>
      <protection locked="0"/>
    </xf>
    <xf numFmtId="0" fontId="1" fillId="0" borderId="60" xfId="3" applyFont="1" applyBorder="1" applyAlignment="1">
      <alignment horizontal="centerContinuous"/>
    </xf>
    <xf numFmtId="0" fontId="10" fillId="0" borderId="60" xfId="3" applyFont="1" applyBorder="1" applyAlignment="1">
      <alignment horizontal="centerContinuous"/>
    </xf>
    <xf numFmtId="0" fontId="13" fillId="0" borderId="60" xfId="3" applyFont="1" applyBorder="1" applyAlignment="1" applyProtection="1">
      <alignment horizontal="centerContinuous"/>
      <protection locked="0"/>
    </xf>
    <xf numFmtId="0" fontId="19" fillId="0" borderId="1" xfId="3" applyFont="1" applyBorder="1"/>
    <xf numFmtId="0" fontId="1" fillId="0" borderId="0" xfId="3" applyFont="1"/>
    <xf numFmtId="0" fontId="10" fillId="0" borderId="0" xfId="3" applyFont="1"/>
    <xf numFmtId="1" fontId="71" fillId="0" borderId="11" xfId="0" applyNumberFormat="1" applyFont="1" applyBorder="1"/>
    <xf numFmtId="1" fontId="71" fillId="0" borderId="0" xfId="0" applyNumberFormat="1" applyFont="1"/>
    <xf numFmtId="1" fontId="71" fillId="0" borderId="12" xfId="0" applyNumberFormat="1" applyFont="1" applyBorder="1"/>
    <xf numFmtId="1" fontId="4" fillId="3" borderId="2" xfId="0" applyNumberFormat="1" applyFont="1" applyFill="1" applyBorder="1"/>
    <xf numFmtId="1" fontId="4" fillId="3" borderId="3" xfId="0" applyNumberFormat="1" applyFont="1" applyFill="1" applyBorder="1"/>
    <xf numFmtId="1" fontId="4" fillId="3" borderId="4" xfId="0" applyNumberFormat="1" applyFont="1" applyFill="1" applyBorder="1"/>
    <xf numFmtId="1" fontId="71" fillId="0" borderId="8" xfId="0" applyNumberFormat="1" applyFont="1" applyBorder="1"/>
    <xf numFmtId="1" fontId="71" fillId="0" borderId="9" xfId="0" applyNumberFormat="1" applyFont="1" applyBorder="1"/>
    <xf numFmtId="1" fontId="71" fillId="0" borderId="10" xfId="0" applyNumberFormat="1" applyFont="1" applyBorder="1"/>
    <xf numFmtId="1" fontId="71" fillId="0" borderId="13" xfId="0" applyNumberFormat="1" applyFont="1" applyBorder="1"/>
    <xf numFmtId="1" fontId="71" fillId="0" borderId="14" xfId="0" applyNumberFormat="1" applyFont="1" applyBorder="1"/>
    <xf numFmtId="1" fontId="71" fillId="0" borderId="15" xfId="0" applyNumberFormat="1" applyFont="1" applyBorder="1"/>
    <xf numFmtId="167" fontId="10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83" fillId="0" borderId="0" xfId="0" applyFont="1" applyAlignment="1">
      <alignment horizontal="right"/>
    </xf>
    <xf numFmtId="0" fontId="73" fillId="0" borderId="0" xfId="0" applyFont="1" applyAlignment="1">
      <alignment horizontal="right"/>
    </xf>
    <xf numFmtId="167" fontId="31" fillId="0" borderId="19" xfId="0" applyNumberFormat="1" applyFont="1" applyBorder="1" applyAlignment="1">
      <alignment horizontal="center"/>
    </xf>
    <xf numFmtId="167" fontId="24" fillId="0" borderId="19" xfId="0" applyNumberFormat="1" applyFont="1" applyBorder="1" applyAlignment="1">
      <alignment horizontal="center"/>
    </xf>
    <xf numFmtId="167" fontId="31" fillId="0" borderId="19" xfId="0" applyNumberFormat="1" applyFont="1" applyBorder="1" applyAlignment="1">
      <alignment horizontal="right"/>
    </xf>
    <xf numFmtId="49" fontId="24" fillId="0" borderId="0" xfId="0" applyNumberFormat="1" applyFont="1" applyAlignment="1">
      <alignment horizontal="left"/>
    </xf>
    <xf numFmtId="0" fontId="7" fillId="0" borderId="20" xfId="0" applyFont="1" applyBorder="1" applyAlignment="1">
      <alignment horizontal="center"/>
    </xf>
    <xf numFmtId="167" fontId="24" fillId="0" borderId="20" xfId="0" applyNumberFormat="1" applyFont="1" applyBorder="1" applyAlignment="1">
      <alignment horizontal="center"/>
    </xf>
    <xf numFmtId="0" fontId="24" fillId="0" borderId="47" xfId="0" applyFont="1" applyBorder="1" applyAlignment="1">
      <alignment horizontal="left"/>
    </xf>
    <xf numFmtId="167" fontId="24" fillId="0" borderId="47" xfId="0" applyNumberFormat="1" applyFont="1" applyBorder="1" applyAlignment="1">
      <alignment horizontal="right"/>
    </xf>
    <xf numFmtId="197" fontId="24" fillId="0" borderId="0" xfId="0" applyNumberFormat="1" applyFont="1" applyAlignment="1">
      <alignment horizontal="right"/>
    </xf>
    <xf numFmtId="37" fontId="28" fillId="0" borderId="0" xfId="0" applyNumberFormat="1" applyFont="1" applyAlignment="1">
      <alignment horizontal="left" vertical="center"/>
    </xf>
    <xf numFmtId="167" fontId="28" fillId="0" borderId="0" xfId="0" applyNumberFormat="1" applyFont="1" applyAlignment="1">
      <alignment horizontal="right" vertical="center"/>
    </xf>
    <xf numFmtId="168" fontId="28" fillId="0" borderId="0" xfId="0" applyNumberFormat="1" applyFont="1" applyAlignment="1">
      <alignment horizontal="center" vertical="center"/>
    </xf>
    <xf numFmtId="171" fontId="19" fillId="6" borderId="0" xfId="1" applyNumberFormat="1" applyFont="1" applyFill="1" applyBorder="1" applyAlignment="1">
      <alignment horizontal="center" vertical="center"/>
    </xf>
    <xf numFmtId="181" fontId="28" fillId="0" borderId="0" xfId="0" applyNumberFormat="1" applyFont="1" applyAlignment="1">
      <alignment horizontal="center" vertical="center"/>
    </xf>
    <xf numFmtId="181" fontId="19" fillId="6" borderId="0" xfId="0" applyNumberFormat="1" applyFont="1" applyFill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37" fontId="28" fillId="0" borderId="21" xfId="0" applyNumberFormat="1" applyFont="1" applyBorder="1" applyAlignment="1">
      <alignment horizontal="left" vertical="center"/>
    </xf>
    <xf numFmtId="167" fontId="28" fillId="0" borderId="21" xfId="0" applyNumberFormat="1" applyFont="1" applyBorder="1" applyAlignment="1">
      <alignment horizontal="right" vertical="center"/>
    </xf>
    <xf numFmtId="168" fontId="28" fillId="0" borderId="19" xfId="0" applyNumberFormat="1" applyFont="1" applyBorder="1" applyAlignment="1">
      <alignment vertical="center"/>
    </xf>
    <xf numFmtId="169" fontId="30" fillId="0" borderId="19" xfId="5" applyNumberFormat="1" applyFont="1" applyBorder="1" applyAlignment="1" applyProtection="1">
      <alignment horizontal="center" vertical="center"/>
      <protection hidden="1"/>
    </xf>
    <xf numFmtId="198" fontId="84" fillId="0" borderId="19" xfId="0" applyNumberFormat="1" applyFont="1" applyBorder="1" applyAlignment="1">
      <alignment horizontal="center"/>
    </xf>
    <xf numFmtId="170" fontId="31" fillId="0" borderId="19" xfId="0" applyNumberFormat="1" applyFont="1" applyBorder="1" applyAlignment="1">
      <alignment horizontal="left"/>
    </xf>
    <xf numFmtId="168" fontId="19" fillId="0" borderId="19" xfId="0" applyNumberFormat="1" applyFont="1" applyBorder="1" applyAlignment="1">
      <alignment horizontal="center" vertical="center"/>
    </xf>
    <xf numFmtId="168" fontId="19" fillId="0" borderId="19" xfId="1" applyNumberFormat="1" applyFont="1" applyFill="1" applyBorder="1" applyAlignment="1">
      <alignment horizontal="center" vertical="center"/>
    </xf>
    <xf numFmtId="181" fontId="19" fillId="0" borderId="19" xfId="0" applyNumberFormat="1" applyFont="1" applyBorder="1" applyAlignment="1">
      <alignment horizontal="center" vertical="center"/>
    </xf>
    <xf numFmtId="170" fontId="31" fillId="0" borderId="21" xfId="0" applyNumberFormat="1" applyFont="1" applyBorder="1" applyAlignment="1">
      <alignment horizontal="left"/>
    </xf>
    <xf numFmtId="168" fontId="19" fillId="0" borderId="21" xfId="0" applyNumberFormat="1" applyFont="1" applyBorder="1" applyAlignment="1">
      <alignment horizontal="center" vertical="center"/>
    </xf>
    <xf numFmtId="168" fontId="19" fillId="0" borderId="21" xfId="1" applyNumberFormat="1" applyFont="1" applyFill="1" applyBorder="1" applyAlignment="1">
      <alignment horizontal="center" vertical="center"/>
    </xf>
    <xf numFmtId="181" fontId="19" fillId="0" borderId="21" xfId="0" applyNumberFormat="1" applyFont="1" applyBorder="1" applyAlignment="1">
      <alignment horizontal="center" vertical="center"/>
    </xf>
    <xf numFmtId="168" fontId="19" fillId="0" borderId="0" xfId="0" applyNumberFormat="1" applyFont="1" applyAlignment="1">
      <alignment vertical="center"/>
    </xf>
    <xf numFmtId="171" fontId="19" fillId="0" borderId="0" xfId="1" applyNumberFormat="1" applyFont="1" applyBorder="1" applyAlignment="1">
      <alignment vertical="center"/>
    </xf>
    <xf numFmtId="181" fontId="19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181" fontId="36" fillId="0" borderId="0" xfId="0" applyNumberFormat="1" applyFont="1"/>
    <xf numFmtId="49" fontId="19" fillId="0" borderId="0" xfId="0" applyNumberFormat="1" applyFont="1" applyAlignment="1">
      <alignment horizontal="left" indent="1"/>
    </xf>
    <xf numFmtId="181" fontId="19" fillId="6" borderId="18" xfId="0" applyNumberFormat="1" applyFont="1" applyFill="1" applyBorder="1" applyAlignment="1">
      <alignment horizontal="right" vertical="center"/>
    </xf>
    <xf numFmtId="0" fontId="34" fillId="0" borderId="21" xfId="0" applyFont="1" applyBorder="1" applyAlignment="1">
      <alignment horizontal="left" vertical="center"/>
    </xf>
    <xf numFmtId="0" fontId="34" fillId="0" borderId="0" xfId="8" applyFont="1" applyAlignment="1">
      <alignment horizontal="left" vertical="center"/>
    </xf>
    <xf numFmtId="0" fontId="19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</cellXfs>
  <cellStyles count="9">
    <cellStyle name="Comma 2" xfId="7" xr:uid="{E99C8C11-765D-4C20-9637-70A7F21BA7EC}"/>
    <cellStyle name="Comma 2 2" xfId="6" xr:uid="{F520511A-16C1-4B9B-93A8-F43F9007DC83}"/>
    <cellStyle name="Hyperlink" xfId="2" builtinId="8"/>
    <cellStyle name="Hyperlink 2 2" xfId="4" xr:uid="{D1170013-0BA7-4114-A7B8-99752ED2C811}"/>
    <cellStyle name="Normal" xfId="0" builtinId="0"/>
    <cellStyle name="Normal 2" xfId="5" xr:uid="{3393341C-9F78-4B4B-96C3-AB9FBF9EF4FB}"/>
    <cellStyle name="Normal 2 2 2" xfId="3" xr:uid="{1CE4675C-9D36-4D12-A34C-07984A178952}"/>
    <cellStyle name="Normal 3" xfId="8" xr:uid="{C1A77672-2D54-4391-8878-DF2A8DED87CF}"/>
    <cellStyle name="Percent" xfId="1" builtinId="5"/>
  </cellStyles>
  <dxfs count="6"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theme="0"/>
      </font>
      <fill>
        <patternFill patternType="solid">
          <bgColor rgb="FF947131"/>
        </patternFill>
      </fill>
    </dxf>
    <dxf>
      <font>
        <b/>
        <i val="0"/>
        <color rgb="FFC00000"/>
      </font>
    </dxf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1" defaultTableStyle="TableStyleMedium2" defaultPivotStyle="PivotStyleLight16">
    <tableStyle name="Invisible" pivot="0" table="0" count="0" xr9:uid="{D8C12AA1-491A-4157-9A81-2F517BF3AF6C}"/>
  </tableStyles>
  <colors>
    <mruColors>
      <color rgb="FF3271D2"/>
      <color rgb="FF0055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F$6" fmlaRange="$D$14:$D$16" noThreeD="1" sel="2" val="0"/>
</file>

<file path=xl/ctrlProps/ctrlProp2.xml><?xml version="1.0" encoding="utf-8"?>
<formControlPr xmlns="http://schemas.microsoft.com/office/spreadsheetml/2009/9/main" objectType="Drop" dropStyle="combo" dx="39" fmlaLink="$F$6" fmlaRange="$D$14:$D$16" noThreeD="1" sel="2" val="0"/>
</file>

<file path=xl/ctrlProps/ctrlProp3.xml><?xml version="1.0" encoding="utf-8"?>
<formControlPr xmlns="http://schemas.microsoft.com/office/spreadsheetml/2009/9/main" objectType="Drop" dropStyle="combo" dx="39" fmlaLink="$D$7" fmlaRange="$B$12:$B$1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448417</xdr:colOff>
      <xdr:row>7</xdr:row>
      <xdr:rowOff>187460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615338-2770-7760-FC01-81A35CDD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64" y="599952"/>
          <a:ext cx="5272767" cy="9791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6</xdr:col>
          <xdr:colOff>0</xdr:colOff>
          <xdr:row>6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49</xdr:row>
          <xdr:rowOff>0</xdr:rowOff>
        </xdr:from>
        <xdr:to>
          <xdr:col>6</xdr:col>
          <xdr:colOff>0</xdr:colOff>
          <xdr:row>50</xdr:row>
          <xdr:rowOff>28575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119063</xdr:colOff>
      <xdr:row>0</xdr:row>
      <xdr:rowOff>131310</xdr:rowOff>
    </xdr:from>
    <xdr:to>
      <xdr:col>5</xdr:col>
      <xdr:colOff>168208</xdr:colOff>
      <xdr:row>1</xdr:row>
      <xdr:rowOff>62453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473DB-9148-453A-8D38-D972526D7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3" y="131310"/>
          <a:ext cx="3057525" cy="5645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119063</xdr:colOff>
      <xdr:row>0</xdr:row>
      <xdr:rowOff>131310</xdr:rowOff>
    </xdr:from>
    <xdr:to>
      <xdr:col>4</xdr:col>
      <xdr:colOff>621336</xdr:colOff>
      <xdr:row>1</xdr:row>
      <xdr:rowOff>62453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53DBDE-8EB6-47E5-B99E-C59A0B378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402" y="131310"/>
          <a:ext cx="3052990" cy="5661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0</xdr:colOff>
          <xdr:row>7</xdr:row>
          <xdr:rowOff>23813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87204</xdr:colOff>
      <xdr:row>0</xdr:row>
      <xdr:rowOff>127450</xdr:rowOff>
    </xdr:from>
    <xdr:to>
      <xdr:col>3</xdr:col>
      <xdr:colOff>564419</xdr:colOff>
      <xdr:row>1</xdr:row>
      <xdr:rowOff>76332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FD820-EF2E-4324-9A49-211775640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856" y="127450"/>
          <a:ext cx="3052990" cy="566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showGridLines="0" zoomScale="77" workbookViewId="0">
      <selection activeCell="C15" sqref="C15"/>
    </sheetView>
  </sheetViews>
  <sheetFormatPr defaultRowHeight="14.25"/>
  <cols>
    <col min="3" max="3" width="22.06640625" customWidth="1"/>
    <col min="12" max="12" width="27" customWidth="1"/>
    <col min="13" max="13" width="9.06640625" customWidth="1"/>
    <col min="15" max="15" width="4.19921875" customWidth="1"/>
  </cols>
  <sheetData>
    <row r="1" spans="1:17" ht="16.149999999999999" thickBo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7" ht="15.75">
      <c r="A2" s="6"/>
      <c r="B2" s="550"/>
      <c r="C2" s="551"/>
      <c r="D2" s="551"/>
      <c r="E2" s="551"/>
      <c r="F2" s="552"/>
      <c r="G2" s="552"/>
      <c r="H2" s="552"/>
      <c r="I2" s="552"/>
      <c r="J2" s="552"/>
      <c r="K2" s="552"/>
      <c r="L2" s="552"/>
      <c r="M2" s="552"/>
      <c r="N2" s="552"/>
      <c r="O2" s="553"/>
      <c r="Q2" s="6"/>
    </row>
    <row r="3" spans="1:17" ht="15.75">
      <c r="A3" s="6"/>
      <c r="B3" s="554"/>
      <c r="C3" s="538"/>
      <c r="D3" s="538"/>
      <c r="E3" s="538"/>
      <c r="F3" s="537"/>
      <c r="G3" s="537"/>
      <c r="H3" s="537"/>
      <c r="I3" s="537"/>
      <c r="J3" s="537"/>
      <c r="K3" s="537"/>
      <c r="L3" s="537"/>
      <c r="M3" s="537"/>
      <c r="N3" s="537"/>
      <c r="O3" s="555"/>
      <c r="Q3" s="6"/>
    </row>
    <row r="4" spans="1:17" ht="15.75">
      <c r="A4" s="6"/>
      <c r="B4" s="554"/>
      <c r="C4" s="538"/>
      <c r="D4" s="538"/>
      <c r="E4" s="538"/>
      <c r="F4" s="537"/>
      <c r="G4" s="537"/>
      <c r="H4" s="537"/>
      <c r="I4" s="537"/>
      <c r="J4" s="537"/>
      <c r="K4" s="537"/>
      <c r="L4" s="537"/>
      <c r="M4" s="537"/>
      <c r="N4" s="537"/>
      <c r="O4" s="555"/>
      <c r="Q4" s="6"/>
    </row>
    <row r="5" spans="1:17" ht="15.75">
      <c r="A5" s="6"/>
      <c r="B5" s="554"/>
      <c r="C5" s="538"/>
      <c r="D5" s="538"/>
      <c r="E5" s="538"/>
      <c r="F5" s="537"/>
      <c r="G5" s="537"/>
      <c r="H5" s="537"/>
      <c r="I5" s="537"/>
      <c r="J5" s="537"/>
      <c r="K5" s="537"/>
      <c r="L5" s="537"/>
      <c r="M5" s="537"/>
      <c r="N5" s="537"/>
      <c r="O5" s="555"/>
      <c r="Q5" s="6"/>
    </row>
    <row r="6" spans="1:17" ht="15.75">
      <c r="A6" s="6"/>
      <c r="B6" s="554"/>
      <c r="C6" s="538"/>
      <c r="D6" s="538"/>
      <c r="E6" s="538"/>
      <c r="F6" s="537"/>
      <c r="G6" s="537"/>
      <c r="H6" s="537"/>
      <c r="I6" s="537"/>
      <c r="J6" s="537"/>
      <c r="K6" s="537"/>
      <c r="L6" s="537"/>
      <c r="M6" s="537"/>
      <c r="N6" s="537"/>
      <c r="O6" s="555"/>
      <c r="Q6" s="6"/>
    </row>
    <row r="7" spans="1:17" ht="15.75">
      <c r="A7" s="6"/>
      <c r="B7" s="554"/>
      <c r="C7" s="538"/>
      <c r="D7" s="538"/>
      <c r="E7" s="538"/>
      <c r="F7" s="537"/>
      <c r="G7" s="537"/>
      <c r="H7" s="537"/>
      <c r="I7" s="537"/>
      <c r="J7" s="537"/>
      <c r="K7" s="537"/>
      <c r="L7" s="537"/>
      <c r="M7" s="537"/>
      <c r="N7" s="537"/>
      <c r="O7" s="555"/>
      <c r="Q7" s="6"/>
    </row>
    <row r="8" spans="1:17" ht="15.75">
      <c r="A8" s="6"/>
      <c r="B8" s="554"/>
      <c r="C8" s="538"/>
      <c r="D8" s="538"/>
      <c r="E8" s="538"/>
      <c r="F8" s="537"/>
      <c r="G8" s="537"/>
      <c r="H8" s="537"/>
      <c r="I8" s="537"/>
      <c r="J8" s="537"/>
      <c r="K8" s="537"/>
      <c r="L8" s="537"/>
      <c r="M8" s="537"/>
      <c r="N8" s="537"/>
      <c r="O8" s="555"/>
      <c r="Q8" s="6"/>
    </row>
    <row r="9" spans="1:17" ht="15.75">
      <c r="A9" s="6"/>
      <c r="B9" s="554"/>
      <c r="C9" s="538"/>
      <c r="D9" s="538"/>
      <c r="E9" s="538"/>
      <c r="F9" s="537"/>
      <c r="G9" s="537"/>
      <c r="H9" s="537"/>
      <c r="I9" s="537"/>
      <c r="J9" s="537"/>
      <c r="K9" s="537"/>
      <c r="L9" s="537"/>
      <c r="M9" s="537"/>
      <c r="N9" s="537"/>
      <c r="O9" s="555"/>
      <c r="Q9" s="6"/>
    </row>
    <row r="10" spans="1:17" ht="15.75">
      <c r="A10" s="6"/>
      <c r="B10" s="55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557"/>
      <c r="Q10" s="6"/>
    </row>
    <row r="11" spans="1:17" ht="29.25">
      <c r="A11" s="6"/>
      <c r="B11" s="556"/>
      <c r="C11" s="539" t="s">
        <v>0</v>
      </c>
      <c r="D11" s="6"/>
      <c r="E11" s="6"/>
      <c r="F11" s="6"/>
      <c r="G11" s="6"/>
      <c r="H11" s="6"/>
      <c r="I11" s="6"/>
      <c r="J11" s="6"/>
      <c r="K11" s="6"/>
      <c r="L11" s="6"/>
      <c r="M11" s="540"/>
      <c r="N11" s="6"/>
      <c r="O11" s="557"/>
      <c r="Q11" s="6"/>
    </row>
    <row r="12" spans="1:17" ht="15.75">
      <c r="A12" s="6"/>
      <c r="B12" s="556"/>
      <c r="C12" s="541"/>
      <c r="D12" s="6"/>
      <c r="E12" s="6"/>
      <c r="F12" s="6"/>
      <c r="G12" s="6"/>
      <c r="H12" s="6"/>
      <c r="I12" s="6"/>
      <c r="J12" s="6"/>
      <c r="K12" s="542"/>
      <c r="L12" s="6"/>
      <c r="M12" s="6"/>
      <c r="N12" s="6"/>
      <c r="O12" s="557"/>
      <c r="Q12" s="6"/>
    </row>
    <row r="13" spans="1:17" ht="20.65">
      <c r="A13" s="6"/>
      <c r="B13" s="556"/>
      <c r="C13" s="1" t="s">
        <v>1</v>
      </c>
      <c r="D13" s="565"/>
      <c r="E13" s="565"/>
      <c r="F13" s="543"/>
      <c r="G13" s="543"/>
      <c r="H13" s="544"/>
      <c r="I13" s="561" t="s">
        <v>219</v>
      </c>
      <c r="J13" s="562"/>
      <c r="K13" s="562"/>
      <c r="L13" s="562"/>
      <c r="M13" s="563"/>
      <c r="N13" s="564"/>
      <c r="O13" s="557"/>
      <c r="Q13" s="6"/>
    </row>
    <row r="14" spans="1:17" ht="15.75">
      <c r="A14" s="6"/>
      <c r="B14" s="556"/>
      <c r="C14" s="6"/>
      <c r="D14" s="543"/>
      <c r="E14" s="543"/>
      <c r="F14" s="543"/>
      <c r="G14" s="543"/>
      <c r="H14" s="543"/>
      <c r="I14" s="566"/>
      <c r="J14" s="566"/>
      <c r="K14" s="566"/>
      <c r="L14" s="566"/>
      <c r="M14" s="566"/>
      <c r="N14" s="566"/>
      <c r="O14" s="557"/>
      <c r="Q14" s="6"/>
    </row>
    <row r="15" spans="1:17" ht="17.25">
      <c r="A15" s="6"/>
      <c r="B15" s="556"/>
      <c r="C15" s="7" t="s">
        <v>2</v>
      </c>
      <c r="D15" s="543"/>
      <c r="E15" s="543"/>
      <c r="F15" s="543"/>
      <c r="G15" s="543"/>
      <c r="H15" s="2"/>
      <c r="I15" s="2" t="s">
        <v>3</v>
      </c>
      <c r="J15" s="567"/>
      <c r="K15" s="567"/>
      <c r="L15" s="567"/>
      <c r="M15" s="567"/>
      <c r="N15" s="3">
        <f>Inputs!$F$121</f>
        <v>0</v>
      </c>
      <c r="O15" s="557"/>
      <c r="Q15" s="6"/>
    </row>
    <row r="16" spans="1:17" ht="17.25">
      <c r="A16" s="6"/>
      <c r="B16" s="556"/>
      <c r="C16" s="7" t="s">
        <v>4</v>
      </c>
      <c r="D16" s="543"/>
      <c r="E16" s="543"/>
      <c r="F16" s="543"/>
      <c r="G16" s="543"/>
      <c r="H16" s="2"/>
      <c r="I16" s="2" t="s">
        <v>5</v>
      </c>
      <c r="J16" s="567"/>
      <c r="K16" s="567"/>
      <c r="L16" s="567"/>
      <c r="M16" s="567"/>
      <c r="N16" s="3">
        <f>Inputs!$F$122</f>
        <v>0</v>
      </c>
      <c r="O16" s="557"/>
      <c r="Q16" s="6"/>
    </row>
    <row r="17" spans="1:17" ht="17.25">
      <c r="A17" s="6"/>
      <c r="B17" s="556"/>
      <c r="C17" s="7" t="s">
        <v>6</v>
      </c>
      <c r="D17" s="543"/>
      <c r="E17" s="543"/>
      <c r="F17" s="543"/>
      <c r="G17" s="543"/>
      <c r="H17" s="2"/>
      <c r="I17" s="2" t="s">
        <v>220</v>
      </c>
      <c r="J17" s="567"/>
      <c r="K17" s="567"/>
      <c r="L17" s="567"/>
      <c r="M17" s="567"/>
      <c r="N17" s="3">
        <f>Inputs!F114</f>
        <v>0</v>
      </c>
      <c r="O17" s="557"/>
      <c r="Q17" s="6"/>
    </row>
    <row r="18" spans="1:17" ht="17.25">
      <c r="A18" s="6"/>
      <c r="B18" s="556"/>
      <c r="C18" s="545"/>
      <c r="D18" s="543"/>
      <c r="E18" s="543"/>
      <c r="F18" s="543"/>
      <c r="G18" s="543"/>
      <c r="H18" s="2"/>
      <c r="I18" s="2" t="s">
        <v>221</v>
      </c>
      <c r="J18" s="567"/>
      <c r="K18" s="567"/>
      <c r="L18" s="567"/>
      <c r="M18" s="2"/>
      <c r="N18" s="3">
        <f>Model!D181</f>
        <v>0</v>
      </c>
      <c r="O18" s="557"/>
      <c r="Q18" s="6"/>
    </row>
    <row r="19" spans="1:17" ht="17.25">
      <c r="A19" s="6"/>
      <c r="B19" s="556"/>
      <c r="C19" s="545"/>
      <c r="D19" s="543"/>
      <c r="E19" s="543"/>
      <c r="F19" s="543"/>
      <c r="G19" s="543"/>
      <c r="H19" s="2"/>
      <c r="I19" s="2" t="s">
        <v>222</v>
      </c>
      <c r="J19" s="567"/>
      <c r="K19" s="567"/>
      <c r="L19" s="567"/>
      <c r="M19" s="2"/>
      <c r="N19" s="3">
        <f>Model!D223</f>
        <v>0</v>
      </c>
      <c r="O19" s="557"/>
      <c r="Q19" s="6"/>
    </row>
    <row r="20" spans="1:17" ht="17.25">
      <c r="A20" s="6"/>
      <c r="B20" s="556"/>
      <c r="C20" s="4"/>
      <c r="D20" s="543"/>
      <c r="E20" s="543"/>
      <c r="F20" s="543"/>
      <c r="G20" s="543"/>
      <c r="H20" s="2"/>
      <c r="I20" s="2" t="s">
        <v>7</v>
      </c>
      <c r="J20" s="567"/>
      <c r="K20" s="567"/>
      <c r="L20" s="567"/>
      <c r="M20" s="2"/>
      <c r="N20" s="3">
        <f>IF(SUM(Model!I289:N289),1,0)</f>
        <v>0</v>
      </c>
      <c r="O20" s="557"/>
      <c r="Q20" s="6"/>
    </row>
    <row r="21" spans="1:17" ht="17.25">
      <c r="A21" s="6"/>
      <c r="B21" s="556"/>
      <c r="C21" s="4"/>
      <c r="D21" s="543"/>
      <c r="E21" s="543"/>
      <c r="F21" s="543"/>
      <c r="G21" s="543"/>
      <c r="H21" s="2"/>
      <c r="O21" s="557"/>
      <c r="Q21" s="6"/>
    </row>
    <row r="22" spans="1:17" ht="17.25">
      <c r="A22" s="6"/>
      <c r="B22" s="556"/>
      <c r="C22" s="4"/>
      <c r="D22" s="543"/>
      <c r="E22" s="543"/>
      <c r="F22" s="543"/>
      <c r="G22" s="543"/>
      <c r="H22" s="2"/>
      <c r="I22" s="6"/>
      <c r="J22" s="6"/>
      <c r="K22" s="6"/>
      <c r="L22" s="2"/>
      <c r="M22" s="3"/>
      <c r="N22" s="6"/>
      <c r="O22" s="557"/>
      <c r="Q22" s="6"/>
    </row>
    <row r="23" spans="1:17" ht="17.25">
      <c r="A23" s="6"/>
      <c r="B23" s="556"/>
      <c r="C23" s="4"/>
      <c r="D23" s="543"/>
      <c r="E23" s="543"/>
      <c r="F23" s="543"/>
      <c r="G23" s="543"/>
      <c r="H23" s="6"/>
      <c r="I23" s="6"/>
      <c r="J23" s="6"/>
      <c r="K23" s="6"/>
      <c r="L23" s="6"/>
      <c r="M23" s="6"/>
      <c r="N23" s="6"/>
      <c r="O23" s="557"/>
      <c r="Q23" s="6"/>
    </row>
    <row r="24" spans="1:17" ht="17.25">
      <c r="A24" s="6"/>
      <c r="B24" s="556"/>
      <c r="C24" s="4"/>
      <c r="D24" s="543"/>
      <c r="E24" s="543"/>
      <c r="F24" s="543"/>
      <c r="G24" s="543"/>
      <c r="H24" s="6"/>
      <c r="I24" s="6"/>
      <c r="J24" s="6"/>
      <c r="K24" s="6"/>
      <c r="L24" s="6"/>
      <c r="M24" s="6"/>
      <c r="N24" s="6"/>
      <c r="O24" s="557"/>
      <c r="Q24" s="6"/>
    </row>
    <row r="25" spans="1:17" ht="17.25">
      <c r="A25" s="6"/>
      <c r="B25" s="556"/>
      <c r="C25" s="4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6"/>
      <c r="O25" s="557"/>
      <c r="Q25" s="6"/>
    </row>
    <row r="26" spans="1:17" ht="17.25">
      <c r="A26" s="6"/>
      <c r="B26" s="556"/>
      <c r="C26" s="546"/>
      <c r="D26" s="543"/>
      <c r="E26" s="543"/>
      <c r="F26" s="543"/>
      <c r="G26" s="543"/>
      <c r="H26" s="543"/>
      <c r="I26" s="543"/>
      <c r="J26" s="543"/>
      <c r="K26" s="543"/>
      <c r="L26" s="543"/>
      <c r="M26" s="543"/>
      <c r="N26" s="6"/>
      <c r="O26" s="557"/>
      <c r="Q26" s="6"/>
    </row>
    <row r="27" spans="1:17" ht="17.25">
      <c r="A27" s="6"/>
      <c r="B27" s="556"/>
      <c r="C27" s="546"/>
      <c r="D27" s="543"/>
      <c r="E27" s="543"/>
      <c r="F27" s="543"/>
      <c r="G27" s="543"/>
      <c r="H27" s="543"/>
      <c r="I27" s="543"/>
      <c r="J27" s="543"/>
      <c r="K27" s="543"/>
      <c r="L27" s="543"/>
      <c r="M27" s="543"/>
      <c r="N27" s="6"/>
      <c r="O27" s="557"/>
      <c r="Q27" s="6"/>
    </row>
    <row r="28" spans="1:17" ht="17.25">
      <c r="A28" s="6"/>
      <c r="B28" s="556"/>
      <c r="C28" s="8"/>
      <c r="D28" s="543"/>
      <c r="E28" s="543"/>
      <c r="F28" s="543"/>
      <c r="G28" s="543"/>
      <c r="H28" s="543"/>
      <c r="I28" s="543"/>
      <c r="J28" s="543"/>
      <c r="K28" s="543"/>
      <c r="L28" s="543"/>
      <c r="M28" s="543"/>
      <c r="N28" s="6"/>
      <c r="O28" s="557"/>
      <c r="Q28" s="6"/>
    </row>
    <row r="29" spans="1:17" ht="17.25">
      <c r="A29" s="6"/>
      <c r="B29" s="556"/>
      <c r="C29" s="9"/>
      <c r="D29" s="543"/>
      <c r="E29" s="543"/>
      <c r="F29" s="543"/>
      <c r="G29" s="543"/>
      <c r="H29" s="543"/>
      <c r="I29" s="543"/>
      <c r="J29" s="543"/>
      <c r="K29" s="543"/>
      <c r="L29" s="543"/>
      <c r="M29" s="543"/>
      <c r="N29" s="6"/>
      <c r="O29" s="557"/>
      <c r="Q29" s="6"/>
    </row>
    <row r="30" spans="1:17" ht="17.25">
      <c r="A30" s="6"/>
      <c r="B30" s="556"/>
      <c r="C30" s="9"/>
      <c r="D30" s="543"/>
      <c r="E30" s="543"/>
      <c r="F30" s="543"/>
      <c r="G30" s="543"/>
      <c r="H30" s="543"/>
      <c r="I30" s="543"/>
      <c r="J30" s="543"/>
      <c r="K30" s="543"/>
      <c r="L30" s="543"/>
      <c r="M30" s="543"/>
      <c r="N30" s="6"/>
      <c r="O30" s="557"/>
      <c r="Q30" s="6"/>
    </row>
    <row r="31" spans="1:17" ht="17.25">
      <c r="A31" s="6"/>
      <c r="B31" s="556"/>
      <c r="C31" s="547"/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6"/>
      <c r="O31" s="557"/>
      <c r="Q31" s="6"/>
    </row>
    <row r="32" spans="1:17" ht="15.75">
      <c r="A32" s="6"/>
      <c r="B32" s="556"/>
      <c r="C32" s="548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6"/>
      <c r="O32" s="557"/>
      <c r="Q32" s="6"/>
    </row>
    <row r="33" spans="1:17" ht="15.75">
      <c r="A33" s="6"/>
      <c r="B33" s="556"/>
      <c r="C33" s="548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6"/>
      <c r="O33" s="557"/>
      <c r="Q33" s="6"/>
    </row>
    <row r="34" spans="1:17" ht="15.75">
      <c r="A34" s="6"/>
      <c r="B34" s="556"/>
      <c r="C34" s="548"/>
      <c r="D34" s="549"/>
      <c r="E34" s="549"/>
      <c r="F34" s="549"/>
      <c r="G34" s="549"/>
      <c r="H34" s="549"/>
      <c r="I34" s="549"/>
      <c r="J34" s="549"/>
      <c r="K34" s="549"/>
      <c r="L34" s="549"/>
      <c r="M34" s="549"/>
      <c r="N34" s="6"/>
      <c r="O34" s="557"/>
      <c r="Q34" s="6"/>
    </row>
    <row r="35" spans="1:17" ht="15.75">
      <c r="A35" s="6"/>
      <c r="B35" s="556"/>
      <c r="C35" s="548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6"/>
      <c r="O35" s="557"/>
      <c r="Q35" s="6"/>
    </row>
    <row r="36" spans="1:17" ht="15.75">
      <c r="A36" s="6"/>
      <c r="B36" s="556"/>
      <c r="C36" s="548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6"/>
      <c r="O36" s="557"/>
      <c r="Q36" s="6"/>
    </row>
    <row r="37" spans="1:17" ht="15.75">
      <c r="A37" s="6"/>
      <c r="B37" s="556"/>
      <c r="C37" s="548"/>
      <c r="D37" s="549"/>
      <c r="E37" s="549"/>
      <c r="F37" s="549"/>
      <c r="G37" s="549"/>
      <c r="H37" s="549"/>
      <c r="I37" s="549"/>
      <c r="J37" s="549"/>
      <c r="K37" s="549"/>
      <c r="L37" s="549"/>
      <c r="M37" s="549"/>
      <c r="N37" s="6"/>
      <c r="O37" s="557"/>
      <c r="Q37" s="6"/>
    </row>
    <row r="38" spans="1:17" ht="15.75">
      <c r="A38" s="6"/>
      <c r="B38" s="556"/>
      <c r="C38" s="548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6"/>
      <c r="O38" s="557"/>
      <c r="Q38" s="6"/>
    </row>
    <row r="39" spans="1:17" ht="16.149999999999999" thickBot="1">
      <c r="A39" s="6"/>
      <c r="B39" s="558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 t="s">
        <v>8</v>
      </c>
      <c r="O39" s="560" t="s">
        <v>8</v>
      </c>
      <c r="Q39" s="6" t="s">
        <v>8</v>
      </c>
    </row>
    <row r="40" spans="1:17" ht="15.7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7" ht="15.7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</sheetData>
  <conditionalFormatting sqref="N15:N20">
    <cfRule type="expression" dxfId="5" priority="1">
      <formula>N15=1</formula>
    </cfRule>
  </conditionalFormatting>
  <hyperlinks>
    <hyperlink ref="C16:C17" location="Model!A1" display="Cover" xr:uid="{D545CDBF-CA11-4193-A24C-BFA833E4B0E8}"/>
    <hyperlink ref="C16" location="Inputs!A1" tooltip="Inputs" display="Inputs" xr:uid="{0077E733-45D5-401D-869E-D64FEDEA6930}"/>
    <hyperlink ref="C17" location="Model!A1" tooltip="Model" display="Model" xr:uid="{11F9B081-94E2-4BED-B834-C7FF588F15CD}"/>
    <hyperlink ref="C15" location="Outputs!A1" tooltip="Outputs" display="Outputs" xr:uid="{C3D2685A-35CA-4074-8128-637C5BA9DD2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FB5C-D56A-435B-B1B0-F42FF1AF3E3D}">
  <dimension ref="B1:Q89"/>
  <sheetViews>
    <sheetView showGridLines="0" zoomScale="61" zoomScaleNormal="100" workbookViewId="0"/>
  </sheetViews>
  <sheetFormatPr defaultRowHeight="14.25" outlineLevelRow="1"/>
  <cols>
    <col min="3" max="3" width="11" customWidth="1"/>
    <col min="4" max="5" width="11" bestFit="1" customWidth="1"/>
    <col min="6" max="6" width="11.265625" bestFit="1" customWidth="1"/>
    <col min="7" max="8" width="11" bestFit="1" customWidth="1"/>
    <col min="11" max="15" width="9.1328125" bestFit="1" customWidth="1"/>
    <col min="16" max="16" width="10.796875" customWidth="1"/>
  </cols>
  <sheetData>
    <row r="1" spans="2:17" ht="50" customHeight="1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2:17" ht="20.65">
      <c r="B3" s="56" t="s">
        <v>205</v>
      </c>
      <c r="C3" s="57"/>
      <c r="D3" s="57"/>
      <c r="E3" s="58"/>
      <c r="F3" s="58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2:17" ht="15" outlineLevel="1">
      <c r="B4" s="18"/>
      <c r="C4" s="36"/>
      <c r="D4" s="36"/>
      <c r="E4" s="103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2:17" ht="15.75" outlineLevel="1">
      <c r="B5" s="16"/>
      <c r="C5" s="16"/>
      <c r="D5" s="16"/>
      <c r="E5" s="16"/>
      <c r="F5" s="30"/>
      <c r="G5" s="411"/>
      <c r="H5" s="30"/>
      <c r="I5" s="30"/>
      <c r="J5" s="63"/>
      <c r="K5" s="63"/>
      <c r="L5" s="412"/>
      <c r="M5" s="412"/>
      <c r="N5" s="412"/>
      <c r="O5" s="412"/>
      <c r="P5" s="16"/>
      <c r="Q5" s="16"/>
    </row>
    <row r="6" spans="2:17" ht="15.75" outlineLevel="1">
      <c r="B6" s="16"/>
      <c r="C6" s="16"/>
      <c r="D6" s="412" t="s">
        <v>206</v>
      </c>
      <c r="E6" s="16"/>
      <c r="F6" s="413">
        <v>2</v>
      </c>
      <c r="G6" s="16"/>
      <c r="H6" s="16"/>
      <c r="I6" s="16"/>
      <c r="J6" s="16"/>
      <c r="K6" s="16"/>
      <c r="L6" s="414" t="s">
        <v>39</v>
      </c>
      <c r="M6" s="415"/>
      <c r="N6" s="415"/>
      <c r="O6" s="415"/>
      <c r="P6" s="16"/>
      <c r="Q6" s="16"/>
    </row>
    <row r="7" spans="2:17" ht="15.75" outlineLevel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2:17" ht="15.75" outlineLevel="1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2:17" ht="16.149999999999999" outlineLevel="1">
      <c r="B9" s="16"/>
      <c r="C9" s="16"/>
      <c r="D9" s="416" t="s">
        <v>207</v>
      </c>
      <c r="E9" s="415"/>
      <c r="F9" s="415"/>
      <c r="G9" s="415"/>
      <c r="H9" s="415"/>
      <c r="I9" s="16"/>
      <c r="J9" s="16"/>
      <c r="K9" s="16"/>
      <c r="L9" s="416" t="s">
        <v>208</v>
      </c>
      <c r="M9" s="415"/>
      <c r="N9" s="415"/>
      <c r="O9" s="415"/>
      <c r="P9" s="16"/>
      <c r="Q9" s="16"/>
    </row>
    <row r="10" spans="2:17" ht="20.65" outlineLevel="1">
      <c r="B10" s="21"/>
      <c r="C10" s="21"/>
      <c r="D10" s="417"/>
      <c r="E10" s="417"/>
      <c r="F10" s="417"/>
      <c r="G10" s="417"/>
      <c r="H10" s="417"/>
      <c r="I10" s="30"/>
      <c r="J10" s="113"/>
      <c r="K10" s="113"/>
      <c r="L10" s="73"/>
      <c r="M10" s="73"/>
      <c r="N10" s="73"/>
      <c r="O10" s="73"/>
      <c r="P10" s="21"/>
      <c r="Q10" s="21"/>
    </row>
    <row r="11" spans="2:17" ht="15.75" outlineLevel="1">
      <c r="B11" s="16"/>
      <c r="C11" s="16"/>
      <c r="D11" s="418"/>
      <c r="E11" s="21"/>
      <c r="F11" s="419" t="s">
        <v>209</v>
      </c>
      <c r="G11" s="419" t="s">
        <v>210</v>
      </c>
      <c r="H11" s="419" t="s">
        <v>210</v>
      </c>
      <c r="I11" s="112"/>
      <c r="J11" s="112"/>
      <c r="K11" s="112"/>
      <c r="L11" s="16"/>
      <c r="M11" s="16"/>
      <c r="N11" s="16"/>
      <c r="O11" s="16"/>
      <c r="P11" s="16"/>
      <c r="Q11" s="16"/>
    </row>
    <row r="12" spans="2:17" ht="15.75" outlineLevel="1">
      <c r="B12" s="16"/>
      <c r="C12" s="16"/>
      <c r="D12" s="21"/>
      <c r="E12" s="21"/>
      <c r="F12" s="419" t="s">
        <v>211</v>
      </c>
      <c r="G12" s="419" t="s">
        <v>211</v>
      </c>
      <c r="H12" s="419" t="s">
        <v>212</v>
      </c>
      <c r="I12" s="112"/>
      <c r="J12" s="112"/>
      <c r="K12" s="112"/>
      <c r="L12" s="412" t="s">
        <v>59</v>
      </c>
      <c r="M12" s="412"/>
      <c r="N12" s="420"/>
      <c r="O12" s="421">
        <f>Inputs!F111</f>
        <v>0.02</v>
      </c>
      <c r="P12" s="16"/>
      <c r="Q12" s="16"/>
    </row>
    <row r="13" spans="2:17" ht="15.75" outlineLevel="1">
      <c r="B13" s="16"/>
      <c r="C13" s="16"/>
      <c r="D13" s="14"/>
      <c r="E13" s="25"/>
      <c r="F13" s="422">
        <f>Model!H330</f>
        <v>115360.33723461934</v>
      </c>
      <c r="G13" s="358"/>
      <c r="H13" s="358"/>
      <c r="I13" s="112"/>
      <c r="J13" s="112"/>
      <c r="K13" s="112"/>
      <c r="L13" s="412" t="s">
        <v>17</v>
      </c>
      <c r="M13" s="16"/>
      <c r="N13" s="420"/>
      <c r="O13" s="421">
        <f>Inputs!L89</f>
        <v>5.8432495579961892E-2</v>
      </c>
      <c r="P13" s="423"/>
      <c r="Q13" s="16"/>
    </row>
    <row r="14" spans="2:17" ht="20.65" outlineLevel="1">
      <c r="B14" s="18"/>
      <c r="C14" s="16"/>
      <c r="D14" s="424" t="s">
        <v>12</v>
      </c>
      <c r="E14" s="425">
        <v>1</v>
      </c>
      <c r="F14" s="426">
        <f t="dataTable" ref="F14:F16" dt2D="0" dtr="0" r1="F6" ca="1"/>
        <v>123125.1718306132</v>
      </c>
      <c r="G14" s="427">
        <f>F14-O$14</f>
        <v>115112.1718306132</v>
      </c>
      <c r="H14" s="428">
        <f>G14/O$15</f>
        <v>426.49933986888925</v>
      </c>
      <c r="I14" s="429"/>
      <c r="J14" s="430"/>
      <c r="K14" s="430"/>
      <c r="L14" s="412" t="s">
        <v>43</v>
      </c>
      <c r="M14" s="16"/>
      <c r="N14" s="431" t="str">
        <f>CONCATENATE("(End of ",Model!$H$5,")")</f>
        <v>(End of 2025)</v>
      </c>
      <c r="O14" s="432">
        <f>Inputs!L98</f>
        <v>8013</v>
      </c>
      <c r="P14" s="423"/>
      <c r="Q14" s="16"/>
    </row>
    <row r="15" spans="2:17" ht="20.65" outlineLevel="1">
      <c r="B15" s="18"/>
      <c r="C15" s="16"/>
      <c r="D15" s="424" t="s">
        <v>13</v>
      </c>
      <c r="E15" s="425">
        <v>2</v>
      </c>
      <c r="F15" s="433">
        <v>115360.33723461934</v>
      </c>
      <c r="G15" s="422">
        <f t="shared" ref="G15:G16" si="0">F15-O$14</f>
        <v>107347.33723461934</v>
      </c>
      <c r="H15" s="434">
        <f t="shared" ref="H15:H16" si="1">G15/O$15</f>
        <v>397.73003792004204</v>
      </c>
      <c r="I15" s="429"/>
      <c r="J15" s="430"/>
      <c r="K15" s="430"/>
      <c r="L15" s="412" t="s">
        <v>53</v>
      </c>
      <c r="M15" s="412"/>
      <c r="N15" s="431" t="s">
        <v>54</v>
      </c>
      <c r="O15" s="432">
        <f>Inputs!F109</f>
        <v>269.89999999999998</v>
      </c>
      <c r="P15" s="423"/>
      <c r="Q15" s="435"/>
    </row>
    <row r="16" spans="2:17" ht="15.75" outlineLevel="1">
      <c r="B16" s="35"/>
      <c r="C16" s="21"/>
      <c r="D16" s="424" t="s">
        <v>14</v>
      </c>
      <c r="E16" s="425">
        <v>3</v>
      </c>
      <c r="F16" s="436">
        <v>107048.60557223798</v>
      </c>
      <c r="G16" s="437">
        <f t="shared" si="0"/>
        <v>99035.605572237982</v>
      </c>
      <c r="H16" s="438">
        <f t="shared" si="1"/>
        <v>366.9344408011782</v>
      </c>
      <c r="I16" s="439"/>
      <c r="J16" s="439"/>
      <c r="K16" s="21"/>
      <c r="L16" s="89" t="s">
        <v>56</v>
      </c>
      <c r="M16" s="115"/>
      <c r="N16" s="440" t="s">
        <v>57</v>
      </c>
      <c r="O16" s="441">
        <f>Inputs!F110</f>
        <v>357.05</v>
      </c>
      <c r="P16" s="423"/>
      <c r="Q16" s="21"/>
    </row>
    <row r="17" spans="2:17" ht="15.75" outlineLevel="1">
      <c r="B17" s="37"/>
      <c r="C17" s="21"/>
      <c r="D17" s="21"/>
      <c r="E17" s="25"/>
      <c r="F17" s="25"/>
      <c r="G17" s="25"/>
      <c r="H17" s="25"/>
      <c r="I17" s="439"/>
      <c r="J17" s="439"/>
      <c r="K17" s="21"/>
      <c r="L17" s="412"/>
      <c r="M17" s="16"/>
      <c r="N17" s="16"/>
      <c r="O17" s="420"/>
      <c r="P17" s="442"/>
      <c r="Q17" s="435"/>
    </row>
    <row r="18" spans="2:17" ht="15.75" outlineLevel="1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2:17" ht="15.75" outlineLevel="1">
      <c r="B19" s="16"/>
      <c r="C19" s="16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16"/>
    </row>
    <row r="20" spans="2:17" ht="16.149999999999999" outlineLevel="1">
      <c r="B20" s="16"/>
      <c r="C20" s="16"/>
      <c r="D20" s="443" t="s">
        <v>213</v>
      </c>
      <c r="E20" s="415"/>
      <c r="F20" s="415"/>
      <c r="G20" s="415"/>
      <c r="H20" s="415"/>
      <c r="I20" s="16"/>
      <c r="J20" s="16"/>
      <c r="K20" s="304"/>
      <c r="L20" s="444" t="s">
        <v>214</v>
      </c>
      <c r="M20" s="445"/>
      <c r="N20" s="445"/>
      <c r="O20" s="445"/>
      <c r="P20" s="445"/>
      <c r="Q20" s="16"/>
    </row>
    <row r="21" spans="2:17" ht="15.75" outlineLevel="1">
      <c r="B21" s="16"/>
      <c r="C21" s="16"/>
      <c r="D21" s="73"/>
      <c r="E21" s="73"/>
      <c r="F21" s="73"/>
      <c r="G21" s="73"/>
      <c r="H21" s="73"/>
      <c r="I21" s="16"/>
      <c r="J21" s="16"/>
      <c r="K21" s="304"/>
      <c r="L21" s="446"/>
      <c r="M21" s="446"/>
      <c r="N21" s="446"/>
      <c r="O21" s="446"/>
      <c r="P21" s="446"/>
      <c r="Q21" s="16"/>
    </row>
    <row r="22" spans="2:17" ht="15.75" outlineLevel="1">
      <c r="B22" s="447"/>
      <c r="C22" s="448"/>
      <c r="D22" s="449" t="s">
        <v>59</v>
      </c>
      <c r="E22" s="415"/>
      <c r="F22" s="415"/>
      <c r="G22" s="415"/>
      <c r="H22" s="415"/>
      <c r="I22" s="447"/>
      <c r="J22" s="16"/>
      <c r="K22" s="450"/>
      <c r="L22" s="451" t="s">
        <v>59</v>
      </c>
      <c r="M22" s="445"/>
      <c r="N22" s="445"/>
      <c r="O22" s="445"/>
      <c r="P22" s="445"/>
      <c r="Q22" s="16"/>
    </row>
    <row r="23" spans="2:17" ht="15.75" outlineLevel="1">
      <c r="B23" s="25"/>
      <c r="C23" s="475">
        <f>Model!H330</f>
        <v>115360.33723461934</v>
      </c>
      <c r="D23" s="452">
        <f t="shared" ref="D23" si="2">E23-0.005</f>
        <v>9.9999999999999985E-3</v>
      </c>
      <c r="E23" s="452">
        <f>F23-0.005</f>
        <v>1.4999999999999999E-2</v>
      </c>
      <c r="F23" s="452">
        <f>Inputs!F111</f>
        <v>0.02</v>
      </c>
      <c r="G23" s="452">
        <f>F23+0.005</f>
        <v>2.5000000000000001E-2</v>
      </c>
      <c r="H23" s="452">
        <f t="shared" ref="H23" si="3">G23+0.005</f>
        <v>3.0000000000000002E-2</v>
      </c>
      <c r="I23" s="304"/>
      <c r="J23" s="16"/>
      <c r="K23" s="453"/>
      <c r="L23" s="452">
        <f>D23</f>
        <v>9.9999999999999985E-3</v>
      </c>
      <c r="M23" s="452">
        <f>E23</f>
        <v>1.4999999999999999E-2</v>
      </c>
      <c r="N23" s="452">
        <f>F23</f>
        <v>0.02</v>
      </c>
      <c r="O23" s="452">
        <f>G23</f>
        <v>2.5000000000000001E-2</v>
      </c>
      <c r="P23" s="452">
        <f>H23</f>
        <v>3.0000000000000002E-2</v>
      </c>
      <c r="Q23" s="16"/>
    </row>
    <row r="24" spans="2:17" ht="15.75" outlineLevel="1">
      <c r="B24" s="624" t="s">
        <v>17</v>
      </c>
      <c r="C24" s="452">
        <f t="shared" ref="C24" si="4">C25-0.01</f>
        <v>3.8432495579961888E-2</v>
      </c>
      <c r="D24" s="454">
        <f t="dataTable" ref="D24:H28" dt2D="1" dtr="1" r1="O12" r2="O13" ca="1"/>
        <v>163083.72083900622</v>
      </c>
      <c r="E24" s="455">
        <v>193701.34536710437</v>
      </c>
      <c r="F24" s="455">
        <v>240929.64770346563</v>
      </c>
      <c r="G24" s="455">
        <v>323317.6878973362</v>
      </c>
      <c r="H24" s="456">
        <v>503408.76204197359</v>
      </c>
      <c r="I24" s="304"/>
      <c r="J24" s="624" t="s">
        <v>17</v>
      </c>
      <c r="K24" s="452">
        <f>C24</f>
        <v>3.8432495579961888E-2</v>
      </c>
      <c r="L24" s="457">
        <f>D37/$O$15</f>
        <v>574.54879895889678</v>
      </c>
      <c r="M24" s="458">
        <f t="shared" ref="M24:P24" si="5">E37/$O$15</f>
        <v>687.98942336830078</v>
      </c>
      <c r="N24" s="458">
        <f t="shared" si="5"/>
        <v>862.97387070568971</v>
      </c>
      <c r="O24" s="458">
        <f t="shared" si="5"/>
        <v>1168.227817329886</v>
      </c>
      <c r="P24" s="459">
        <f t="shared" si="5"/>
        <v>1835.4789256834888</v>
      </c>
      <c r="Q24" s="16"/>
    </row>
    <row r="25" spans="2:17" ht="15.75" outlineLevel="1">
      <c r="B25" s="624"/>
      <c r="C25" s="452">
        <f>C26-0.01</f>
        <v>4.843249557996189E-2</v>
      </c>
      <c r="D25" s="460">
        <v>120412.87665150543</v>
      </c>
      <c r="E25" s="461">
        <v>135568.99578811176</v>
      </c>
      <c r="F25" s="461">
        <v>156055.67730675798</v>
      </c>
      <c r="G25" s="461">
        <v>185285.20973035239</v>
      </c>
      <c r="H25" s="462">
        <v>230372.35204556127</v>
      </c>
      <c r="I25" s="304"/>
      <c r="J25" s="624"/>
      <c r="K25" s="452">
        <f>C25</f>
        <v>4.843249557996189E-2</v>
      </c>
      <c r="L25" s="463">
        <f t="shared" ref="L25:P25" si="6">D38/$O$15</f>
        <v>416.45008022047216</v>
      </c>
      <c r="M25" s="464">
        <f t="shared" si="6"/>
        <v>472.60465279033633</v>
      </c>
      <c r="N25" s="464">
        <f t="shared" si="6"/>
        <v>548.50936386349758</v>
      </c>
      <c r="O25" s="464">
        <f t="shared" si="6"/>
        <v>656.80700159448838</v>
      </c>
      <c r="P25" s="465">
        <f t="shared" si="6"/>
        <v>823.85828842371723</v>
      </c>
      <c r="Q25" s="16"/>
    </row>
    <row r="26" spans="2:17" ht="15.75" outlineLevel="1">
      <c r="B26" s="624"/>
      <c r="C26" s="452">
        <f>Inputs!L89</f>
        <v>5.8432495579961892E-2</v>
      </c>
      <c r="D26" s="460">
        <v>95375.914470108197</v>
      </c>
      <c r="E26" s="461">
        <v>104217.8107197853</v>
      </c>
      <c r="F26" s="466">
        <v>115360.33723461934</v>
      </c>
      <c r="G26" s="461">
        <v>129835.70693735842</v>
      </c>
      <c r="H26" s="462">
        <v>149402.21247164256</v>
      </c>
      <c r="I26" s="304"/>
      <c r="J26" s="624"/>
      <c r="K26" s="452">
        <f>C26</f>
        <v>5.8432495579961892E-2</v>
      </c>
      <c r="L26" s="463">
        <f t="shared" ref="L26:P26" si="7">D39/$O$15</f>
        <v>323.68623367954132</v>
      </c>
      <c r="M26" s="464">
        <f t="shared" si="7"/>
        <v>356.44613086248722</v>
      </c>
      <c r="N26" s="467">
        <f t="shared" si="7"/>
        <v>397.73003792004204</v>
      </c>
      <c r="O26" s="464">
        <f t="shared" si="7"/>
        <v>451.3623821317467</v>
      </c>
      <c r="P26" s="465">
        <f t="shared" si="7"/>
        <v>523.85777129174721</v>
      </c>
      <c r="Q26" s="16"/>
    </row>
    <row r="27" spans="2:17" ht="15.75" outlineLevel="1">
      <c r="B27" s="624"/>
      <c r="C27" s="452">
        <f>C26+0.01</f>
        <v>6.8432495579961894E-2</v>
      </c>
      <c r="D27" s="460">
        <v>78918.709745847416</v>
      </c>
      <c r="E27" s="461">
        <v>84610.730673933576</v>
      </c>
      <c r="F27" s="461">
        <v>91477.99992650238</v>
      </c>
      <c r="G27" s="461">
        <v>99926.405413788714</v>
      </c>
      <c r="H27" s="462">
        <v>110573.05625563674</v>
      </c>
      <c r="I27" s="304"/>
      <c r="J27" s="624"/>
      <c r="K27" s="452">
        <f>C27</f>
        <v>6.8432495579961894E-2</v>
      </c>
      <c r="L27" s="463">
        <f t="shared" ref="L27:P27" si="8">D40/$O$15</f>
        <v>262.7110401846885</v>
      </c>
      <c r="M27" s="464">
        <f t="shared" si="8"/>
        <v>283.80041005533008</v>
      </c>
      <c r="N27" s="464">
        <f t="shared" si="8"/>
        <v>309.24416423305814</v>
      </c>
      <c r="O27" s="464">
        <f t="shared" si="8"/>
        <v>340.54614825412642</v>
      </c>
      <c r="P27" s="465">
        <f t="shared" si="8"/>
        <v>379.99279827949886</v>
      </c>
      <c r="Q27" s="16"/>
    </row>
    <row r="28" spans="2:17" ht="15.75" outlineLevel="1">
      <c r="B28" s="624"/>
      <c r="C28" s="452">
        <f t="shared" ref="C28" si="9">C27+0.01</f>
        <v>7.8432495579961889E-2</v>
      </c>
      <c r="D28" s="468">
        <v>67279.4719172841</v>
      </c>
      <c r="E28" s="469">
        <v>71192.975407180813</v>
      </c>
      <c r="F28" s="469">
        <v>75776.226689132949</v>
      </c>
      <c r="G28" s="469">
        <v>81217.242751151061</v>
      </c>
      <c r="H28" s="470">
        <v>87781.681423725109</v>
      </c>
      <c r="I28" s="304"/>
      <c r="J28" s="624"/>
      <c r="K28" s="452">
        <f>C28</f>
        <v>7.8432495579961889E-2</v>
      </c>
      <c r="L28" s="471">
        <f t="shared" ref="L28:P28" si="10">D41/$O$15</f>
        <v>219.58677998252725</v>
      </c>
      <c r="M28" s="472">
        <f t="shared" si="10"/>
        <v>234.08660765906194</v>
      </c>
      <c r="N28" s="472">
        <f t="shared" si="10"/>
        <v>251.06790177522399</v>
      </c>
      <c r="O28" s="472">
        <f t="shared" si="10"/>
        <v>271.22727955224553</v>
      </c>
      <c r="P28" s="473">
        <f t="shared" si="10"/>
        <v>295.54902342988186</v>
      </c>
      <c r="Q28" s="16"/>
    </row>
    <row r="29" spans="2:17" ht="15.75" outlineLevel="1">
      <c r="B29" s="16"/>
      <c r="C29" s="304"/>
      <c r="D29" s="304"/>
      <c r="E29" s="304"/>
      <c r="F29" s="304"/>
      <c r="G29" s="304"/>
      <c r="H29" s="474"/>
      <c r="I29" s="304"/>
      <c r="J29" s="16"/>
      <c r="K29" s="16"/>
      <c r="L29" s="16"/>
      <c r="M29" s="16"/>
      <c r="N29" s="16"/>
      <c r="O29" s="16"/>
      <c r="P29" s="474"/>
      <c r="Q29" s="16"/>
    </row>
    <row r="30" spans="2:17" ht="15.75" outlineLevel="1">
      <c r="B30" s="16"/>
      <c r="C30" s="304"/>
      <c r="D30" s="304"/>
      <c r="E30" s="304"/>
      <c r="F30" s="304"/>
      <c r="G30" s="304"/>
      <c r="H30" s="304"/>
      <c r="I30" s="304"/>
      <c r="J30" s="304"/>
      <c r="K30" s="304"/>
      <c r="L30" s="444"/>
      <c r="M30" s="445"/>
      <c r="N30" s="445"/>
      <c r="O30" s="445"/>
      <c r="P30" s="445"/>
      <c r="Q30" s="16"/>
    </row>
    <row r="31" spans="2:17" ht="15.75" outlineLevel="1">
      <c r="B31" s="16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16"/>
    </row>
    <row r="32" spans="2:17" ht="15.75" outlineLevel="1">
      <c r="B32" s="16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16"/>
    </row>
    <row r="33" spans="2:17" ht="15.75" outlineLevel="1">
      <c r="B33" s="16"/>
      <c r="C33" s="16"/>
      <c r="D33" s="443" t="s">
        <v>178</v>
      </c>
      <c r="E33" s="415"/>
      <c r="F33" s="415"/>
      <c r="G33" s="415"/>
      <c r="H33" s="415"/>
      <c r="I33" s="304"/>
      <c r="J33" s="304"/>
      <c r="K33" s="304"/>
      <c r="L33" s="444" t="s">
        <v>215</v>
      </c>
      <c r="M33" s="445"/>
      <c r="N33" s="445"/>
      <c r="O33" s="445"/>
      <c r="P33" s="445"/>
      <c r="Q33" s="16"/>
    </row>
    <row r="34" spans="2:17" ht="15.75" outlineLevel="1">
      <c r="B34" s="16"/>
      <c r="C34" s="16"/>
      <c r="D34" s="73"/>
      <c r="E34" s="73"/>
      <c r="F34" s="73"/>
      <c r="G34" s="73"/>
      <c r="H34" s="73"/>
      <c r="I34" s="304"/>
      <c r="J34" s="304"/>
      <c r="K34" s="304"/>
      <c r="L34" s="446"/>
      <c r="M34" s="446"/>
      <c r="N34" s="446"/>
      <c r="O34" s="446"/>
      <c r="P34" s="446"/>
      <c r="Q34" s="16"/>
    </row>
    <row r="35" spans="2:17" ht="15.75" outlineLevel="1">
      <c r="B35" s="447"/>
      <c r="C35" s="447"/>
      <c r="D35" s="449" t="s">
        <v>59</v>
      </c>
      <c r="E35" s="415"/>
      <c r="F35" s="415"/>
      <c r="G35" s="415"/>
      <c r="H35" s="415"/>
      <c r="I35" s="450"/>
      <c r="J35" s="450"/>
      <c r="K35" s="450"/>
      <c r="L35" s="451" t="s">
        <v>59</v>
      </c>
      <c r="M35" s="445"/>
      <c r="N35" s="445"/>
      <c r="O35" s="445"/>
      <c r="P35" s="445"/>
      <c r="Q35" s="16"/>
    </row>
    <row r="36" spans="2:17" ht="15.75" outlineLevel="1">
      <c r="B36" s="304"/>
      <c r="C36" s="475"/>
      <c r="D36" s="476">
        <f>D23</f>
        <v>9.9999999999999985E-3</v>
      </c>
      <c r="E36" s="476">
        <f>E23</f>
        <v>1.4999999999999999E-2</v>
      </c>
      <c r="F36" s="476">
        <f>F23</f>
        <v>0.02</v>
      </c>
      <c r="G36" s="476">
        <f>G23</f>
        <v>2.5000000000000001E-2</v>
      </c>
      <c r="H36" s="476">
        <f>H23</f>
        <v>3.0000000000000002E-2</v>
      </c>
      <c r="I36" s="304"/>
      <c r="J36" s="304"/>
      <c r="K36" s="475"/>
      <c r="L36" s="452">
        <f>D36</f>
        <v>9.9999999999999985E-3</v>
      </c>
      <c r="M36" s="452">
        <f>E36</f>
        <v>1.4999999999999999E-2</v>
      </c>
      <c r="N36" s="452">
        <f>F36</f>
        <v>0.02</v>
      </c>
      <c r="O36" s="452">
        <f>G36</f>
        <v>2.5000000000000001E-2</v>
      </c>
      <c r="P36" s="452">
        <f>H36</f>
        <v>3.0000000000000002E-2</v>
      </c>
      <c r="Q36" s="16"/>
    </row>
    <row r="37" spans="2:17" ht="15.75" outlineLevel="1">
      <c r="B37" s="623" t="s">
        <v>17</v>
      </c>
      <c r="C37" s="452">
        <f>C24</f>
        <v>3.8432495579961888E-2</v>
      </c>
      <c r="D37" s="460">
        <f>D24-$O$14</f>
        <v>155070.72083900622</v>
      </c>
      <c r="E37" s="478">
        <f t="shared" ref="E37:H37" si="11">E24-$O$14</f>
        <v>185688.34536710437</v>
      </c>
      <c r="F37" s="478">
        <f t="shared" si="11"/>
        <v>232916.64770346563</v>
      </c>
      <c r="G37" s="455">
        <f t="shared" si="11"/>
        <v>315304.6878973362</v>
      </c>
      <c r="H37" s="456">
        <f t="shared" si="11"/>
        <v>495395.76204197359</v>
      </c>
      <c r="I37" s="304"/>
      <c r="J37" s="623" t="s">
        <v>17</v>
      </c>
      <c r="K37" s="452">
        <f>C37</f>
        <v>3.8432495579961888E-2</v>
      </c>
      <c r="L37" s="479">
        <f>L24/$O$16-1</f>
        <v>0.60915501738943223</v>
      </c>
      <c r="M37" s="480">
        <f t="shared" ref="M37:P37" si="12">M24/$O$16-1</f>
        <v>0.92687137198795888</v>
      </c>
      <c r="N37" s="480">
        <f t="shared" si="12"/>
        <v>1.4169552463399797</v>
      </c>
      <c r="O37" s="480">
        <f t="shared" si="12"/>
        <v>2.2718885795543646</v>
      </c>
      <c r="P37" s="481">
        <f t="shared" si="12"/>
        <v>4.14067756808147</v>
      </c>
      <c r="Q37" s="16"/>
    </row>
    <row r="38" spans="2:17" ht="15.75" outlineLevel="1">
      <c r="B38" s="623"/>
      <c r="C38" s="452">
        <f>C25</f>
        <v>4.843249557996189E-2</v>
      </c>
      <c r="D38" s="460">
        <f t="shared" ref="D38:H38" si="13">D25-$O$14</f>
        <v>112399.87665150543</v>
      </c>
      <c r="E38" s="461">
        <f t="shared" si="13"/>
        <v>127555.99578811176</v>
      </c>
      <c r="F38" s="461">
        <f t="shared" si="13"/>
        <v>148042.67730675798</v>
      </c>
      <c r="G38" s="461">
        <f t="shared" si="13"/>
        <v>177272.20973035239</v>
      </c>
      <c r="H38" s="462">
        <f t="shared" si="13"/>
        <v>222359.35204556127</v>
      </c>
      <c r="I38" s="304"/>
      <c r="J38" s="623"/>
      <c r="K38" s="452">
        <f>C38</f>
        <v>4.843249557996189E-2</v>
      </c>
      <c r="L38" s="482">
        <f t="shared" ref="L38:P38" si="14">L25/$O$16-1</f>
        <v>0.16636347912189375</v>
      </c>
      <c r="M38" s="483">
        <f t="shared" si="14"/>
        <v>0.32363717347804588</v>
      </c>
      <c r="N38" s="483">
        <f t="shared" si="14"/>
        <v>0.5362256374835388</v>
      </c>
      <c r="O38" s="483">
        <f t="shared" si="14"/>
        <v>0.83953788431448917</v>
      </c>
      <c r="P38" s="484">
        <f t="shared" si="14"/>
        <v>1.3074031324008324</v>
      </c>
      <c r="Q38" s="16"/>
    </row>
    <row r="39" spans="2:17" ht="15.75" outlineLevel="1">
      <c r="B39" s="623"/>
      <c r="C39" s="452">
        <f>C26</f>
        <v>5.8432495579961892E-2</v>
      </c>
      <c r="D39" s="460">
        <f t="shared" ref="D39:H39" si="15">D26-$O$14</f>
        <v>87362.914470108197</v>
      </c>
      <c r="E39" s="461">
        <f t="shared" si="15"/>
        <v>96204.810719785295</v>
      </c>
      <c r="F39" s="466">
        <f t="shared" si="15"/>
        <v>107347.33723461934</v>
      </c>
      <c r="G39" s="461">
        <f t="shared" si="15"/>
        <v>121822.70693735842</v>
      </c>
      <c r="H39" s="462">
        <f t="shared" si="15"/>
        <v>141389.21247164256</v>
      </c>
      <c r="I39" s="304"/>
      <c r="J39" s="623"/>
      <c r="K39" s="452">
        <f>C39</f>
        <v>5.8432495579961892E-2</v>
      </c>
      <c r="L39" s="482">
        <f t="shared" ref="L39:P39" si="16">L26/$O$16-1</f>
        <v>-9.3442840835901708E-2</v>
      </c>
      <c r="M39" s="483">
        <f t="shared" si="16"/>
        <v>-1.6912733160979743E-3</v>
      </c>
      <c r="N39" s="485">
        <f t="shared" si="16"/>
        <v>0.11393372894564346</v>
      </c>
      <c r="O39" s="483">
        <f t="shared" si="16"/>
        <v>0.26414334723917299</v>
      </c>
      <c r="P39" s="484">
        <f t="shared" si="16"/>
        <v>0.46718322725597861</v>
      </c>
      <c r="Q39" s="16"/>
    </row>
    <row r="40" spans="2:17" ht="15.75" outlineLevel="1">
      <c r="B40" s="623"/>
      <c r="C40" s="452">
        <f>C27</f>
        <v>6.8432495579961894E-2</v>
      </c>
      <c r="D40" s="460">
        <f t="shared" ref="D40:H40" si="17">D27-$O$14</f>
        <v>70905.709745847416</v>
      </c>
      <c r="E40" s="461">
        <f t="shared" si="17"/>
        <v>76597.730673933576</v>
      </c>
      <c r="F40" s="461">
        <f t="shared" si="17"/>
        <v>83464.99992650238</v>
      </c>
      <c r="G40" s="461">
        <f t="shared" si="17"/>
        <v>91913.405413788714</v>
      </c>
      <c r="H40" s="462">
        <f t="shared" si="17"/>
        <v>102560.05625563674</v>
      </c>
      <c r="I40" s="304"/>
      <c r="J40" s="623"/>
      <c r="K40" s="452">
        <f>C40</f>
        <v>6.8432495579961894E-2</v>
      </c>
      <c r="L40" s="482">
        <f t="shared" ref="L40:P40" si="18">L27/$O$16-1</f>
        <v>-0.26421778410674002</v>
      </c>
      <c r="M40" s="483">
        <f t="shared" si="18"/>
        <v>-0.20515219141484364</v>
      </c>
      <c r="N40" s="483">
        <f t="shared" si="18"/>
        <v>-0.13389115184691747</v>
      </c>
      <c r="O40" s="483">
        <f t="shared" si="18"/>
        <v>-4.6222802817178499E-2</v>
      </c>
      <c r="P40" s="484">
        <f t="shared" si="18"/>
        <v>6.4256541883486396E-2</v>
      </c>
      <c r="Q40" s="16"/>
    </row>
    <row r="41" spans="2:17" ht="15.75" outlineLevel="1">
      <c r="B41" s="623"/>
      <c r="C41" s="452">
        <f>C28</f>
        <v>7.8432495579961889E-2</v>
      </c>
      <c r="D41" s="468">
        <f t="shared" ref="D41:H41" si="19">D28-$O$14</f>
        <v>59266.4719172841</v>
      </c>
      <c r="E41" s="469">
        <f t="shared" si="19"/>
        <v>63179.975407180813</v>
      </c>
      <c r="F41" s="469">
        <f t="shared" si="19"/>
        <v>67763.226689132949</v>
      </c>
      <c r="G41" s="469">
        <f t="shared" si="19"/>
        <v>73204.242751151061</v>
      </c>
      <c r="H41" s="470">
        <f t="shared" si="19"/>
        <v>79768.681423725109</v>
      </c>
      <c r="I41" s="304"/>
      <c r="J41" s="623"/>
      <c r="K41" s="452">
        <f>C41</f>
        <v>7.8432495579961889E-2</v>
      </c>
      <c r="L41" s="486">
        <f t="shared" ref="L41:P41" si="20">L28/$O$16-1</f>
        <v>-0.38499711529890146</v>
      </c>
      <c r="M41" s="487">
        <f t="shared" si="20"/>
        <v>-0.34438703918481461</v>
      </c>
      <c r="N41" s="487">
        <f t="shared" si="20"/>
        <v>-0.29682705006238908</v>
      </c>
      <c r="O41" s="487">
        <f t="shared" si="20"/>
        <v>-0.2403661124429477</v>
      </c>
      <c r="P41" s="488">
        <f t="shared" si="20"/>
        <v>-0.17224751875120614</v>
      </c>
      <c r="Q41" s="16"/>
    </row>
    <row r="42" spans="2:17" ht="15.75" outlineLevel="1">
      <c r="B42" s="477"/>
      <c r="C42" s="452"/>
      <c r="D42" s="489"/>
      <c r="E42" s="489"/>
      <c r="F42" s="489"/>
      <c r="G42" s="489"/>
      <c r="H42" s="474" t="s">
        <v>218</v>
      </c>
      <c r="I42" s="14"/>
      <c r="J42" s="490"/>
      <c r="K42" s="491"/>
      <c r="L42" s="492"/>
      <c r="M42" s="492"/>
      <c r="N42" s="492"/>
      <c r="O42" s="492"/>
      <c r="P42" s="474"/>
      <c r="Q42" s="16"/>
    </row>
    <row r="43" spans="2:17" ht="17.25" outlineLevel="1">
      <c r="B43" s="477"/>
      <c r="C43" s="452"/>
      <c r="D43" s="493"/>
      <c r="E43" s="494"/>
      <c r="F43" s="494"/>
      <c r="G43" s="494"/>
      <c r="H43" s="494"/>
      <c r="I43" s="304"/>
      <c r="J43" s="477"/>
      <c r="K43" s="452"/>
      <c r="L43" s="495"/>
      <c r="M43" s="495"/>
      <c r="N43" s="495"/>
      <c r="O43" s="495"/>
      <c r="P43" s="195" t="s">
        <v>216</v>
      </c>
      <c r="Q43" s="16"/>
    </row>
    <row r="44" spans="2:17" ht="15.75" outlineLevel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2:17" ht="15.75" outlineLevel="1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6"/>
    </row>
    <row r="46" spans="2:17" ht="15.7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2:17" ht="20.65">
      <c r="B47" s="56" t="s">
        <v>217</v>
      </c>
      <c r="C47" s="57"/>
      <c r="D47" s="57"/>
      <c r="E47" s="58"/>
      <c r="F47" s="58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spans="2:17" ht="15" outlineLevel="1">
      <c r="B48" s="18"/>
      <c r="C48" s="36"/>
      <c r="D48" s="36"/>
      <c r="E48" s="103"/>
      <c r="F48" s="103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</row>
    <row r="49" spans="2:17" ht="15.75" outlineLevel="1">
      <c r="B49" s="16"/>
      <c r="C49" s="16"/>
      <c r="D49" s="16"/>
      <c r="E49" s="16"/>
      <c r="F49" s="30"/>
      <c r="G49" s="411"/>
      <c r="H49" s="30"/>
      <c r="I49" s="30"/>
      <c r="J49" s="63"/>
      <c r="K49" s="63"/>
      <c r="L49" s="412"/>
      <c r="M49" s="412"/>
      <c r="N49" s="412"/>
      <c r="O49" s="412"/>
      <c r="P49" s="16"/>
      <c r="Q49" s="16"/>
    </row>
    <row r="50" spans="2:17" ht="15.75" outlineLevel="1">
      <c r="B50" s="16"/>
      <c r="C50" s="16"/>
      <c r="D50" s="412" t="s">
        <v>206</v>
      </c>
      <c r="E50" s="16"/>
      <c r="F50" s="422"/>
      <c r="G50" s="16"/>
      <c r="H50" s="16"/>
      <c r="I50" s="16"/>
      <c r="J50" s="16"/>
      <c r="K50" s="16"/>
      <c r="L50" s="414" t="s">
        <v>39</v>
      </c>
      <c r="M50" s="415"/>
      <c r="N50" s="415"/>
      <c r="O50" s="415"/>
      <c r="P50" s="16"/>
      <c r="Q50" s="16"/>
    </row>
    <row r="51" spans="2:17" ht="15.75" outlineLevel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2:17" ht="15.75" outlineLevel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2:17" ht="16.149999999999999" outlineLevel="1">
      <c r="B53" s="16"/>
      <c r="C53" s="16"/>
      <c r="D53" s="416" t="s">
        <v>207</v>
      </c>
      <c r="E53" s="415"/>
      <c r="F53" s="415"/>
      <c r="G53" s="415"/>
      <c r="H53" s="415"/>
      <c r="I53" s="16"/>
      <c r="J53" s="16"/>
      <c r="K53" s="16"/>
      <c r="L53" s="416" t="s">
        <v>208</v>
      </c>
      <c r="M53" s="415"/>
      <c r="N53" s="415"/>
      <c r="O53" s="415"/>
      <c r="P53" s="16"/>
      <c r="Q53" s="16"/>
    </row>
    <row r="54" spans="2:17" ht="20.65" outlineLevel="1">
      <c r="B54" s="21"/>
      <c r="C54" s="21"/>
      <c r="D54" s="417"/>
      <c r="E54" s="417"/>
      <c r="F54" s="417"/>
      <c r="G54" s="417"/>
      <c r="H54" s="417"/>
      <c r="I54" s="30"/>
      <c r="J54" s="113"/>
      <c r="K54" s="113"/>
      <c r="L54" s="73"/>
      <c r="M54" s="73"/>
      <c r="N54" s="73"/>
      <c r="O54" s="73"/>
      <c r="P54" s="21"/>
      <c r="Q54" s="21"/>
    </row>
    <row r="55" spans="2:17" ht="15.75" outlineLevel="1">
      <c r="B55" s="16"/>
      <c r="C55" s="16"/>
      <c r="D55" s="21"/>
      <c r="E55" s="21"/>
      <c r="F55" s="419" t="s">
        <v>209</v>
      </c>
      <c r="G55" s="419" t="s">
        <v>210</v>
      </c>
      <c r="H55" s="419" t="s">
        <v>210</v>
      </c>
      <c r="I55" s="112"/>
      <c r="J55" s="112"/>
      <c r="K55" s="112"/>
      <c r="L55" s="16"/>
      <c r="M55" s="16"/>
      <c r="N55" s="16"/>
      <c r="O55" s="16"/>
      <c r="P55" s="16"/>
      <c r="Q55" s="16"/>
    </row>
    <row r="56" spans="2:17" ht="15.75" outlineLevel="1">
      <c r="B56" s="16"/>
      <c r="C56" s="16"/>
      <c r="D56" s="21"/>
      <c r="E56" s="21"/>
      <c r="F56" s="419" t="s">
        <v>211</v>
      </c>
      <c r="G56" s="419" t="s">
        <v>211</v>
      </c>
      <c r="H56" s="419" t="s">
        <v>212</v>
      </c>
      <c r="I56" s="112"/>
      <c r="J56" s="112"/>
      <c r="K56" s="112"/>
      <c r="L56" s="412" t="s">
        <v>183</v>
      </c>
      <c r="M56" s="412"/>
      <c r="N56" s="420"/>
      <c r="O56" s="496">
        <f>Inputs!F112</f>
        <v>16</v>
      </c>
      <c r="P56" s="16"/>
      <c r="Q56" s="16"/>
    </row>
    <row r="57" spans="2:17" ht="15.75" outlineLevel="1">
      <c r="B57" s="16"/>
      <c r="C57" s="16"/>
      <c r="D57" s="16"/>
      <c r="E57" s="25"/>
      <c r="F57" s="422">
        <f>Model!H377</f>
        <v>116409.1681785714</v>
      </c>
      <c r="G57" s="358"/>
      <c r="H57" s="358"/>
      <c r="I57" s="112"/>
      <c r="J57" s="112"/>
      <c r="K57" s="112"/>
      <c r="L57" s="412" t="s">
        <v>17</v>
      </c>
      <c r="M57" s="16"/>
      <c r="N57" s="420"/>
      <c r="O57" s="421">
        <f>Inputs!L89</f>
        <v>5.8432495579961892E-2</v>
      </c>
      <c r="P57" s="423"/>
      <c r="Q57" s="16"/>
    </row>
    <row r="58" spans="2:17" ht="20.65" outlineLevel="1">
      <c r="B58" s="18"/>
      <c r="C58" s="16"/>
      <c r="D58" s="89" t="str">
        <f>D14</f>
        <v>Best Case</v>
      </c>
      <c r="E58" s="425">
        <v>1</v>
      </c>
      <c r="F58" s="426">
        <f t="dataTable" ref="F58:F60" dt2D="0" dtr="0" r1="F6"/>
        <v>125072.87080608655</v>
      </c>
      <c r="G58" s="497">
        <f>F58-O$58</f>
        <v>117059.87080608655</v>
      </c>
      <c r="H58" s="498">
        <f>G58/O$59</f>
        <v>433.71571250865713</v>
      </c>
      <c r="I58" s="429"/>
      <c r="J58" s="430"/>
      <c r="K58" s="430"/>
      <c r="L58" s="412" t="s">
        <v>43</v>
      </c>
      <c r="M58" s="16"/>
      <c r="N58" s="431" t="str">
        <f>N14</f>
        <v>(End of 2025)</v>
      </c>
      <c r="O58" s="499">
        <f>Inputs!L98</f>
        <v>8013</v>
      </c>
      <c r="P58" s="423"/>
      <c r="Q58" s="16"/>
    </row>
    <row r="59" spans="2:17" ht="20.65" outlineLevel="1">
      <c r="B59" s="18"/>
      <c r="C59" s="16"/>
      <c r="D59" s="89" t="str">
        <f>D15</f>
        <v>Base Case</v>
      </c>
      <c r="E59" s="425">
        <v>2</v>
      </c>
      <c r="F59" s="433">
        <v>116409.1681785714</v>
      </c>
      <c r="G59" s="500">
        <f t="shared" ref="G59:G60" si="21">F59-O$58</f>
        <v>108396.1681785714</v>
      </c>
      <c r="H59" s="501">
        <f t="shared" ref="H59:H60" si="22">G59/O$59</f>
        <v>401.61603623034978</v>
      </c>
      <c r="I59" s="429"/>
      <c r="J59" s="430"/>
      <c r="K59" s="430"/>
      <c r="L59" s="412" t="s">
        <v>53</v>
      </c>
      <c r="M59" s="412"/>
      <c r="N59" s="431" t="s">
        <v>54</v>
      </c>
      <c r="O59" s="499">
        <f>Inputs!F109</f>
        <v>269.89999999999998</v>
      </c>
      <c r="P59" s="423"/>
      <c r="Q59" s="435"/>
    </row>
    <row r="60" spans="2:17" ht="15.75" outlineLevel="1">
      <c r="B60" s="35"/>
      <c r="C60" s="21"/>
      <c r="D60" s="89" t="str">
        <f>D16</f>
        <v>Worst Case</v>
      </c>
      <c r="E60" s="425">
        <v>3</v>
      </c>
      <c r="F60" s="436">
        <v>108254.16549261889</v>
      </c>
      <c r="G60" s="502">
        <f t="shared" si="21"/>
        <v>100241.16549261889</v>
      </c>
      <c r="H60" s="503">
        <f t="shared" si="22"/>
        <v>371.40113187335646</v>
      </c>
      <c r="I60" s="439"/>
      <c r="J60" s="439"/>
      <c r="K60" s="21"/>
      <c r="L60" s="89" t="s">
        <v>56</v>
      </c>
      <c r="M60" s="115"/>
      <c r="N60" s="440" t="s">
        <v>57</v>
      </c>
      <c r="O60" s="441">
        <f>Inputs!F110</f>
        <v>357.05</v>
      </c>
      <c r="P60" s="423"/>
      <c r="Q60" s="21"/>
    </row>
    <row r="61" spans="2:17" ht="15.75" outlineLevel="1">
      <c r="B61" s="37"/>
      <c r="C61" s="21"/>
      <c r="D61" s="21"/>
      <c r="E61" s="25"/>
      <c r="F61" s="25"/>
      <c r="G61" s="16"/>
      <c r="H61" s="16"/>
      <c r="I61" s="439"/>
      <c r="J61" s="439"/>
      <c r="K61" s="21"/>
      <c r="L61" s="412"/>
      <c r="M61" s="16"/>
      <c r="N61" s="16"/>
      <c r="O61" s="420"/>
      <c r="P61" s="442"/>
      <c r="Q61" s="435"/>
    </row>
    <row r="62" spans="2:17" ht="15.75" outlineLevel="1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2:17" ht="15.75" outlineLevel="1">
      <c r="B63" s="16"/>
      <c r="C63" s="16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16"/>
    </row>
    <row r="64" spans="2:17" ht="16.149999999999999" outlineLevel="1">
      <c r="B64" s="16"/>
      <c r="C64" s="16"/>
      <c r="D64" s="443" t="s">
        <v>213</v>
      </c>
      <c r="E64" s="415"/>
      <c r="F64" s="415"/>
      <c r="G64" s="415"/>
      <c r="H64" s="415"/>
      <c r="I64" s="16"/>
      <c r="J64" s="16"/>
      <c r="K64" s="304"/>
      <c r="L64" s="444" t="s">
        <v>214</v>
      </c>
      <c r="M64" s="445"/>
      <c r="N64" s="445"/>
      <c r="O64" s="445"/>
      <c r="P64" s="445"/>
      <c r="Q64" s="304"/>
    </row>
    <row r="65" spans="2:17" ht="15.75" outlineLevel="1">
      <c r="B65" s="16"/>
      <c r="C65" s="16"/>
      <c r="D65" s="73"/>
      <c r="E65" s="73"/>
      <c r="F65" s="73"/>
      <c r="G65" s="73"/>
      <c r="H65" s="73"/>
      <c r="I65" s="16"/>
      <c r="J65" s="16"/>
      <c r="K65" s="304"/>
      <c r="L65" s="446"/>
      <c r="M65" s="446"/>
      <c r="N65" s="446"/>
      <c r="O65" s="446"/>
      <c r="P65" s="446"/>
      <c r="Q65" s="304"/>
    </row>
    <row r="66" spans="2:17" ht="15.75" outlineLevel="1">
      <c r="B66" s="447"/>
      <c r="C66" s="448"/>
      <c r="D66" s="449" t="s">
        <v>183</v>
      </c>
      <c r="E66" s="415"/>
      <c r="F66" s="415"/>
      <c r="G66" s="415"/>
      <c r="H66" s="415"/>
      <c r="I66" s="447"/>
      <c r="J66" s="16"/>
      <c r="K66" s="450"/>
      <c r="L66" s="451" t="s">
        <v>183</v>
      </c>
      <c r="M66" s="445"/>
      <c r="N66" s="445"/>
      <c r="O66" s="445"/>
      <c r="P66" s="445"/>
      <c r="Q66" s="450"/>
    </row>
    <row r="67" spans="2:17" ht="15.75" outlineLevel="1">
      <c r="B67" s="25"/>
      <c r="C67" s="536">
        <f>Model!H377</f>
        <v>116409.1681785714</v>
      </c>
      <c r="D67" s="504">
        <f>E67-0.5</f>
        <v>15</v>
      </c>
      <c r="E67" s="504">
        <f>F67-0.5</f>
        <v>15.5</v>
      </c>
      <c r="F67" s="504">
        <f>Inputs!F112</f>
        <v>16</v>
      </c>
      <c r="G67" s="504">
        <f>+F67+0.5</f>
        <v>16.5</v>
      </c>
      <c r="H67" s="504">
        <f>+G67+0.5</f>
        <v>17</v>
      </c>
      <c r="I67" s="304"/>
      <c r="J67" s="16"/>
      <c r="K67" s="453"/>
      <c r="L67" s="504">
        <f>D67</f>
        <v>15</v>
      </c>
      <c r="M67" s="504">
        <f>E67</f>
        <v>15.5</v>
      </c>
      <c r="N67" s="504">
        <f>F67</f>
        <v>16</v>
      </c>
      <c r="O67" s="504">
        <f>G67</f>
        <v>16.5</v>
      </c>
      <c r="P67" s="504">
        <f>H67</f>
        <v>17</v>
      </c>
      <c r="Q67" s="304"/>
    </row>
    <row r="68" spans="2:17" ht="15.75" outlineLevel="1">
      <c r="B68" s="624" t="s">
        <v>17</v>
      </c>
      <c r="C68" s="452">
        <f t="shared" ref="C68" si="23">C69-0.01</f>
        <v>3.8432495579961888E-2</v>
      </c>
      <c r="D68" s="515">
        <f t="dataTable" ref="D68:H72" dt2D="1" dtr="1" r1="O56" r2="O57" ca="1"/>
        <v>122375.09363818997</v>
      </c>
      <c r="E68" s="516">
        <v>125670.16269945033</v>
      </c>
      <c r="F68" s="516">
        <v>128965.2317607107</v>
      </c>
      <c r="G68" s="516">
        <v>132260.30082197106</v>
      </c>
      <c r="H68" s="517">
        <v>135555.36988323144</v>
      </c>
      <c r="I68" s="304"/>
      <c r="J68" s="624" t="s">
        <v>17</v>
      </c>
      <c r="K68" s="452">
        <f>C68</f>
        <v>3.8432495579961888E-2</v>
      </c>
      <c r="L68" s="505">
        <f>D81/$O$59</f>
        <v>423.72024319447934</v>
      </c>
      <c r="M68" s="506">
        <f t="shared" ref="M68:P68" si="24">E81/$O$59</f>
        <v>435.9287243403125</v>
      </c>
      <c r="N68" s="506">
        <f t="shared" si="24"/>
        <v>448.13720548614566</v>
      </c>
      <c r="O68" s="506">
        <f t="shared" si="24"/>
        <v>460.34568663197877</v>
      </c>
      <c r="P68" s="507">
        <f t="shared" si="24"/>
        <v>472.55416777781198</v>
      </c>
      <c r="Q68" s="304"/>
    </row>
    <row r="69" spans="2:17" ht="15.75" outlineLevel="1">
      <c r="B69" s="624"/>
      <c r="C69" s="452">
        <f>C70-0.01</f>
        <v>4.843249557996189E-2</v>
      </c>
      <c r="D69" s="521">
        <v>116256.74757182482</v>
      </c>
      <c r="E69" s="522">
        <v>119372.42647377485</v>
      </c>
      <c r="F69" s="522">
        <v>122488.10537572487</v>
      </c>
      <c r="G69" s="522">
        <v>125603.7842776749</v>
      </c>
      <c r="H69" s="523">
        <v>128719.46317962493</v>
      </c>
      <c r="I69" s="304"/>
      <c r="J69" s="624"/>
      <c r="K69" s="452">
        <f>C69</f>
        <v>4.843249557996189E-2</v>
      </c>
      <c r="L69" s="508">
        <f t="shared" ref="L69:P69" si="25">D82/$O$59</f>
        <v>401.05130630539026</v>
      </c>
      <c r="M69" s="509">
        <f t="shared" si="25"/>
        <v>412.59513328556818</v>
      </c>
      <c r="N69" s="509">
        <f t="shared" si="25"/>
        <v>424.13896026574616</v>
      </c>
      <c r="O69" s="509">
        <f t="shared" si="25"/>
        <v>435.68278724592409</v>
      </c>
      <c r="P69" s="510">
        <f t="shared" si="25"/>
        <v>447.22661422610201</v>
      </c>
      <c r="Q69" s="304"/>
    </row>
    <row r="70" spans="2:17" ht="15.75" outlineLevel="1">
      <c r="B70" s="624"/>
      <c r="C70" s="452">
        <f>Inputs!L89</f>
        <v>5.8432495579961892E-2</v>
      </c>
      <c r="D70" s="521">
        <v>110513.92599107881</v>
      </c>
      <c r="E70" s="522">
        <v>113461.5470848251</v>
      </c>
      <c r="F70" s="527">
        <v>116409.1681785714</v>
      </c>
      <c r="G70" s="522">
        <v>119356.78927231769</v>
      </c>
      <c r="H70" s="523">
        <v>122304.410366064</v>
      </c>
      <c r="I70" s="304"/>
      <c r="J70" s="624"/>
      <c r="K70" s="452">
        <f>C70</f>
        <v>5.8432495579961892E-2</v>
      </c>
      <c r="L70" s="508">
        <f t="shared" ref="L70:P70" si="26">D83/$O$59</f>
        <v>379.77371615812825</v>
      </c>
      <c r="M70" s="509">
        <f t="shared" si="26"/>
        <v>390.69487619423899</v>
      </c>
      <c r="N70" s="511">
        <f t="shared" si="26"/>
        <v>401.61603623034978</v>
      </c>
      <c r="O70" s="509">
        <f t="shared" si="26"/>
        <v>412.53719626646057</v>
      </c>
      <c r="P70" s="510">
        <f t="shared" si="26"/>
        <v>423.45835630257136</v>
      </c>
      <c r="Q70" s="304"/>
    </row>
    <row r="71" spans="2:17" ht="15.75" outlineLevel="1">
      <c r="B71" s="624"/>
      <c r="C71" s="452">
        <f>C70+0.01</f>
        <v>6.8432495579961894E-2</v>
      </c>
      <c r="D71" s="521">
        <v>105120.07917326185</v>
      </c>
      <c r="E71" s="522">
        <v>107910.16181854761</v>
      </c>
      <c r="F71" s="522">
        <v>110700.24446383337</v>
      </c>
      <c r="G71" s="522">
        <v>113490.32710911913</v>
      </c>
      <c r="H71" s="523">
        <v>116280.40975440489</v>
      </c>
      <c r="I71" s="304"/>
      <c r="J71" s="624"/>
      <c r="K71" s="452">
        <f>C71</f>
        <v>6.8432495579961894E-2</v>
      </c>
      <c r="L71" s="508">
        <f t="shared" ref="L71:P71" si="27">D84/$O$59</f>
        <v>359.78910401356745</v>
      </c>
      <c r="M71" s="509">
        <f t="shared" si="27"/>
        <v>370.12657213244762</v>
      </c>
      <c r="N71" s="509">
        <f t="shared" si="27"/>
        <v>380.46404025132784</v>
      </c>
      <c r="O71" s="509">
        <f t="shared" si="27"/>
        <v>390.80150837020801</v>
      </c>
      <c r="P71" s="510">
        <f t="shared" si="27"/>
        <v>401.13897648908818</v>
      </c>
      <c r="Q71" s="304"/>
    </row>
    <row r="72" spans="2:17" ht="15.75" outlineLevel="1">
      <c r="B72" s="624"/>
      <c r="C72" s="452">
        <f t="shared" ref="C72" si="28">C71+0.01</f>
        <v>7.8432495579961889E-2</v>
      </c>
      <c r="D72" s="529">
        <v>100050.76672754307</v>
      </c>
      <c r="E72" s="530">
        <v>102693.08245729115</v>
      </c>
      <c r="F72" s="530">
        <v>105335.39818703923</v>
      </c>
      <c r="G72" s="530">
        <v>107977.71391678731</v>
      </c>
      <c r="H72" s="531">
        <v>110620.02964653539</v>
      </c>
      <c r="I72" s="304"/>
      <c r="J72" s="624"/>
      <c r="K72" s="452">
        <f>C72</f>
        <v>7.8432495579961889E-2</v>
      </c>
      <c r="L72" s="512">
        <f t="shared" ref="L72:P72" si="29">D85/$O$59</f>
        <v>341.00691636733262</v>
      </c>
      <c r="M72" s="513">
        <f t="shared" si="29"/>
        <v>350.79689684064897</v>
      </c>
      <c r="N72" s="513">
        <f t="shared" si="29"/>
        <v>360.58687731396532</v>
      </c>
      <c r="O72" s="513">
        <f t="shared" si="29"/>
        <v>370.37685778728166</v>
      </c>
      <c r="P72" s="514">
        <f t="shared" si="29"/>
        <v>380.16683826059801</v>
      </c>
      <c r="Q72" s="304"/>
    </row>
    <row r="73" spans="2:17" ht="15.75" outlineLevel="1">
      <c r="B73" s="16"/>
      <c r="C73" s="304"/>
      <c r="D73" s="304"/>
      <c r="E73" s="304"/>
      <c r="F73" s="304"/>
      <c r="G73" s="304"/>
      <c r="H73" s="474"/>
      <c r="I73" s="304"/>
      <c r="J73" s="16"/>
      <c r="K73" s="16"/>
      <c r="L73" s="16"/>
      <c r="M73" s="16"/>
      <c r="N73" s="16"/>
      <c r="O73" s="16"/>
      <c r="P73" s="16"/>
      <c r="Q73" s="16"/>
    </row>
    <row r="74" spans="2:17" ht="15.75" outlineLevel="1">
      <c r="B74" s="16"/>
      <c r="C74" s="304"/>
      <c r="D74" s="304"/>
      <c r="E74" s="304"/>
      <c r="F74" s="304"/>
      <c r="G74" s="304"/>
      <c r="H74" s="304"/>
      <c r="I74" s="304"/>
      <c r="J74" s="304"/>
      <c r="K74" s="304"/>
      <c r="L74" s="444"/>
      <c r="M74" s="445"/>
      <c r="N74" s="445"/>
      <c r="O74" s="445"/>
      <c r="P74" s="445"/>
      <c r="Q74" s="16"/>
    </row>
    <row r="75" spans="2:17" ht="15.75" outlineLevel="1">
      <c r="B75" s="16"/>
      <c r="C75" s="304"/>
      <c r="D75" s="304"/>
      <c r="E75" s="304"/>
      <c r="F75" s="304"/>
      <c r="G75" s="304"/>
      <c r="H75" s="304"/>
      <c r="I75" s="304"/>
      <c r="J75" s="304"/>
      <c r="K75" s="304"/>
      <c r="L75" s="304"/>
      <c r="M75" s="304"/>
      <c r="N75" s="304"/>
      <c r="O75" s="304"/>
      <c r="P75" s="304"/>
      <c r="Q75" s="16"/>
    </row>
    <row r="76" spans="2:17" ht="15.75" outlineLevel="1">
      <c r="B76" s="16"/>
      <c r="C76" s="304"/>
      <c r="D76" s="304"/>
      <c r="E76" s="304"/>
      <c r="F76" s="304"/>
      <c r="G76" s="304"/>
      <c r="H76" s="304"/>
      <c r="I76" s="304"/>
      <c r="J76" s="304"/>
      <c r="K76" s="304"/>
      <c r="L76" s="304"/>
      <c r="M76" s="304"/>
      <c r="N76" s="304"/>
      <c r="O76" s="304"/>
      <c r="P76" s="304"/>
      <c r="Q76" s="16"/>
    </row>
    <row r="77" spans="2:17" ht="15.75" outlineLevel="1">
      <c r="B77" s="16"/>
      <c r="C77" s="16"/>
      <c r="D77" s="443" t="s">
        <v>178</v>
      </c>
      <c r="E77" s="415"/>
      <c r="F77" s="415"/>
      <c r="G77" s="415"/>
      <c r="H77" s="415"/>
      <c r="I77" s="16"/>
      <c r="J77" s="304"/>
      <c r="K77" s="304"/>
      <c r="L77" s="444" t="s">
        <v>215</v>
      </c>
      <c r="M77" s="445"/>
      <c r="N77" s="445"/>
      <c r="O77" s="445"/>
      <c r="P77" s="445"/>
      <c r="Q77" s="16"/>
    </row>
    <row r="78" spans="2:17" ht="15.75" outlineLevel="1">
      <c r="B78" s="16"/>
      <c r="C78" s="16"/>
      <c r="D78" s="73"/>
      <c r="E78" s="73"/>
      <c r="F78" s="73"/>
      <c r="G78" s="73"/>
      <c r="H78" s="73"/>
      <c r="I78" s="16"/>
      <c r="J78" s="304"/>
      <c r="K78" s="304"/>
      <c r="L78" s="446"/>
      <c r="M78" s="446"/>
      <c r="N78" s="446"/>
      <c r="O78" s="446"/>
      <c r="P78" s="446"/>
      <c r="Q78" s="16"/>
    </row>
    <row r="79" spans="2:17" ht="15.75" outlineLevel="1">
      <c r="B79" s="447"/>
      <c r="C79" s="447"/>
      <c r="D79" s="449" t="s">
        <v>183</v>
      </c>
      <c r="E79" s="415"/>
      <c r="F79" s="415"/>
      <c r="G79" s="415"/>
      <c r="H79" s="415"/>
      <c r="I79" s="447"/>
      <c r="J79" s="450"/>
      <c r="K79" s="450"/>
      <c r="L79" s="451" t="s">
        <v>183</v>
      </c>
      <c r="M79" s="445"/>
      <c r="N79" s="445"/>
      <c r="O79" s="445"/>
      <c r="P79" s="445"/>
      <c r="Q79" s="16"/>
    </row>
    <row r="80" spans="2:17" ht="15.75" outlineLevel="1">
      <c r="B80" s="304"/>
      <c r="C80" s="475"/>
      <c r="D80" s="504">
        <f>D67</f>
        <v>15</v>
      </c>
      <c r="E80" s="504">
        <f>E67</f>
        <v>15.5</v>
      </c>
      <c r="F80" s="504">
        <f>F67</f>
        <v>16</v>
      </c>
      <c r="G80" s="504">
        <f>G67</f>
        <v>16.5</v>
      </c>
      <c r="H80" s="504">
        <f>H67</f>
        <v>17</v>
      </c>
      <c r="I80" s="16"/>
      <c r="J80" s="304"/>
      <c r="K80" s="475"/>
      <c r="L80" s="504">
        <f>D80</f>
        <v>15</v>
      </c>
      <c r="M80" s="504">
        <f>E80</f>
        <v>15.5</v>
      </c>
      <c r="N80" s="504">
        <f>F80</f>
        <v>16</v>
      </c>
      <c r="O80" s="504">
        <f>G80</f>
        <v>16.5</v>
      </c>
      <c r="P80" s="504">
        <f>H80</f>
        <v>17</v>
      </c>
      <c r="Q80" s="16"/>
    </row>
    <row r="81" spans="2:17" ht="15.75" outlineLevel="1">
      <c r="B81" s="623" t="s">
        <v>17</v>
      </c>
      <c r="C81" s="452">
        <f>C68</f>
        <v>3.8432495579961888E-2</v>
      </c>
      <c r="D81" s="515">
        <f>D68-$O$58</f>
        <v>114362.09363818997</v>
      </c>
      <c r="E81" s="516">
        <f t="shared" ref="E81:H81" si="30">E68-$O$58</f>
        <v>117657.16269945033</v>
      </c>
      <c r="F81" s="516">
        <f t="shared" si="30"/>
        <v>120952.2317607107</v>
      </c>
      <c r="G81" s="516">
        <f t="shared" si="30"/>
        <v>124247.30082197106</v>
      </c>
      <c r="H81" s="517">
        <f t="shared" si="30"/>
        <v>127542.36988323144</v>
      </c>
      <c r="I81" s="16"/>
      <c r="J81" s="623" t="s">
        <v>17</v>
      </c>
      <c r="K81" s="452">
        <f>C81</f>
        <v>3.8432495579961888E-2</v>
      </c>
      <c r="L81" s="518">
        <f>L68/$O$60-1</f>
        <v>0.18672522950421322</v>
      </c>
      <c r="M81" s="519">
        <f t="shared" ref="M81:P81" si="31">M68/$O$60-1</f>
        <v>0.22091786679824255</v>
      </c>
      <c r="N81" s="519">
        <f t="shared" si="31"/>
        <v>0.25511050409227187</v>
      </c>
      <c r="O81" s="519">
        <f t="shared" si="31"/>
        <v>0.28930314138630098</v>
      </c>
      <c r="P81" s="520">
        <f t="shared" si="31"/>
        <v>0.3234957786803303</v>
      </c>
      <c r="Q81" s="16"/>
    </row>
    <row r="82" spans="2:17" ht="15.75" outlineLevel="1">
      <c r="B82" s="623"/>
      <c r="C82" s="452">
        <f>C69</f>
        <v>4.843249557996189E-2</v>
      </c>
      <c r="D82" s="521">
        <f t="shared" ref="D82:H82" si="32">D69-$O$58</f>
        <v>108243.74757182482</v>
      </c>
      <c r="E82" s="522">
        <f t="shared" si="32"/>
        <v>111359.42647377485</v>
      </c>
      <c r="F82" s="522">
        <f t="shared" si="32"/>
        <v>114475.10537572487</v>
      </c>
      <c r="G82" s="522">
        <f t="shared" si="32"/>
        <v>117590.7842776749</v>
      </c>
      <c r="H82" s="523">
        <f t="shared" si="32"/>
        <v>120706.46317962493</v>
      </c>
      <c r="I82" s="16"/>
      <c r="J82" s="623"/>
      <c r="K82" s="452">
        <f>C82</f>
        <v>4.843249557996189E-2</v>
      </c>
      <c r="L82" s="524">
        <f t="shared" ref="L82:P82" si="33">L69/$O$60-1</f>
        <v>0.12323569893681618</v>
      </c>
      <c r="M82" s="525">
        <f t="shared" si="33"/>
        <v>0.15556682057293991</v>
      </c>
      <c r="N82" s="525">
        <f t="shared" si="33"/>
        <v>0.18789794220906364</v>
      </c>
      <c r="O82" s="525">
        <f t="shared" si="33"/>
        <v>0.22022906384518715</v>
      </c>
      <c r="P82" s="526">
        <f t="shared" si="33"/>
        <v>0.25256018548131065</v>
      </c>
      <c r="Q82" s="16"/>
    </row>
    <row r="83" spans="2:17" ht="15.75" outlineLevel="1">
      <c r="B83" s="623"/>
      <c r="C83" s="452">
        <f>C70</f>
        <v>5.8432495579961892E-2</v>
      </c>
      <c r="D83" s="521">
        <f t="shared" ref="D83:H83" si="34">D70-$O$58</f>
        <v>102500.92599107881</v>
      </c>
      <c r="E83" s="522">
        <f t="shared" si="34"/>
        <v>105448.5470848251</v>
      </c>
      <c r="F83" s="527">
        <f t="shared" si="34"/>
        <v>108396.1681785714</v>
      </c>
      <c r="G83" s="522">
        <f t="shared" si="34"/>
        <v>111343.78927231769</v>
      </c>
      <c r="H83" s="523">
        <f t="shared" si="34"/>
        <v>114291.410366064</v>
      </c>
      <c r="I83" s="16"/>
      <c r="J83" s="623"/>
      <c r="K83" s="452">
        <f>C83</f>
        <v>5.8432495579961892E-2</v>
      </c>
      <c r="L83" s="524">
        <f t="shared" ref="L83:P83" si="35">L70/$O$60-1</f>
        <v>6.3642952410385867E-2</v>
      </c>
      <c r="M83" s="525">
        <f t="shared" si="35"/>
        <v>9.4230153183696874E-2</v>
      </c>
      <c r="N83" s="528">
        <f t="shared" si="35"/>
        <v>0.1248173539570081</v>
      </c>
      <c r="O83" s="525">
        <f t="shared" si="35"/>
        <v>0.15540455473031933</v>
      </c>
      <c r="P83" s="526">
        <f t="shared" si="35"/>
        <v>0.18599175550363078</v>
      </c>
      <c r="Q83" s="16"/>
    </row>
    <row r="84" spans="2:17" ht="15.75" outlineLevel="1">
      <c r="B84" s="623"/>
      <c r="C84" s="452">
        <f>C71</f>
        <v>6.8432495579961894E-2</v>
      </c>
      <c r="D84" s="521">
        <f t="shared" ref="D84:H84" si="36">D71-$O$58</f>
        <v>97107.079173261853</v>
      </c>
      <c r="E84" s="522">
        <f t="shared" si="36"/>
        <v>99897.161818547611</v>
      </c>
      <c r="F84" s="522">
        <f t="shared" si="36"/>
        <v>102687.24446383337</v>
      </c>
      <c r="G84" s="522">
        <f t="shared" si="36"/>
        <v>105477.32710911913</v>
      </c>
      <c r="H84" s="523">
        <f t="shared" si="36"/>
        <v>108267.40975440489</v>
      </c>
      <c r="I84" s="16"/>
      <c r="J84" s="623"/>
      <c r="K84" s="452">
        <f>C84</f>
        <v>6.8432495579961894E-2</v>
      </c>
      <c r="L84" s="524">
        <f t="shared" ref="L84:P84" si="37">L71/$O$60-1</f>
        <v>7.6714858243032147E-3</v>
      </c>
      <c r="M84" s="525">
        <f t="shared" si="37"/>
        <v>3.662392419114302E-2</v>
      </c>
      <c r="N84" s="525">
        <f t="shared" si="37"/>
        <v>6.5576362557983048E-2</v>
      </c>
      <c r="O84" s="525">
        <f t="shared" si="37"/>
        <v>9.4528800924822853E-2</v>
      </c>
      <c r="P84" s="526">
        <f t="shared" si="37"/>
        <v>0.12348123929166266</v>
      </c>
      <c r="Q84" s="16"/>
    </row>
    <row r="85" spans="2:17" ht="15.75" outlineLevel="1">
      <c r="B85" s="623"/>
      <c r="C85" s="452">
        <f>C72</f>
        <v>7.8432495579961889E-2</v>
      </c>
      <c r="D85" s="529">
        <f t="shared" ref="D85:H85" si="38">D72-$O$58</f>
        <v>92037.766727543072</v>
      </c>
      <c r="E85" s="530">
        <f t="shared" si="38"/>
        <v>94680.082457291152</v>
      </c>
      <c r="F85" s="530">
        <f t="shared" si="38"/>
        <v>97322.398187039231</v>
      </c>
      <c r="G85" s="530">
        <f t="shared" si="38"/>
        <v>99964.71391678731</v>
      </c>
      <c r="H85" s="531">
        <f t="shared" si="38"/>
        <v>102607.02964653539</v>
      </c>
      <c r="I85" s="16"/>
      <c r="J85" s="623"/>
      <c r="K85" s="452">
        <f>C85</f>
        <v>7.8432495579961889E-2</v>
      </c>
      <c r="L85" s="532">
        <f t="shared" ref="L85:P85" si="39">L72/$O$60-1</f>
        <v>-4.4932316573777831E-2</v>
      </c>
      <c r="M85" s="533">
        <f t="shared" si="39"/>
        <v>-1.7513242289178055E-2</v>
      </c>
      <c r="N85" s="533">
        <f t="shared" si="39"/>
        <v>9.9058319954217211E-3</v>
      </c>
      <c r="O85" s="533">
        <f t="shared" si="39"/>
        <v>3.7324906280021386E-2</v>
      </c>
      <c r="P85" s="534">
        <f t="shared" si="39"/>
        <v>6.4743980564621273E-2</v>
      </c>
      <c r="Q85" s="16"/>
    </row>
    <row r="86" spans="2:17" ht="15.75" outlineLevel="1">
      <c r="B86" s="477"/>
      <c r="C86" s="452"/>
      <c r="D86" s="494"/>
      <c r="E86" s="494"/>
      <c r="F86" s="494"/>
      <c r="G86" s="494"/>
      <c r="H86" s="494"/>
      <c r="I86" s="304"/>
      <c r="J86" s="477"/>
      <c r="K86" s="452"/>
      <c r="L86" s="495"/>
      <c r="M86" s="495"/>
      <c r="N86" s="495"/>
      <c r="O86" s="495"/>
      <c r="P86" s="495"/>
      <c r="Q86" s="16"/>
    </row>
    <row r="87" spans="2:17" ht="17.25" outlineLevel="1">
      <c r="B87" s="477"/>
      <c r="C87" s="452"/>
      <c r="D87" s="493"/>
      <c r="E87" s="494"/>
      <c r="F87" s="494"/>
      <c r="G87" s="494"/>
      <c r="H87" s="494"/>
      <c r="I87" s="304"/>
      <c r="J87" s="477"/>
      <c r="K87" s="452"/>
      <c r="L87" s="495"/>
      <c r="M87" s="495"/>
      <c r="N87" s="495"/>
      <c r="O87" s="495"/>
      <c r="P87" s="195" t="s">
        <v>216</v>
      </c>
      <c r="Q87" s="16"/>
    </row>
    <row r="88" spans="2:17" ht="15.75" outlineLevel="1">
      <c r="B88" s="304"/>
      <c r="C88" s="304"/>
      <c r="D88" s="421"/>
      <c r="E88" s="421"/>
      <c r="F88" s="421"/>
      <c r="G88" s="421"/>
      <c r="H88" s="421"/>
      <c r="I88" s="16"/>
      <c r="J88" s="16"/>
      <c r="K88" s="16"/>
      <c r="L88" s="16"/>
      <c r="M88" s="16"/>
      <c r="N88" s="16"/>
      <c r="O88" s="16"/>
      <c r="P88" s="16"/>
      <c r="Q88" s="16"/>
    </row>
    <row r="89" spans="2:17" ht="15.75" outlineLevel="1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 t="s">
        <v>8</v>
      </c>
      <c r="Q89" s="16"/>
    </row>
  </sheetData>
  <mergeCells count="8">
    <mergeCell ref="B81:B85"/>
    <mergeCell ref="J81:J85"/>
    <mergeCell ref="B24:B28"/>
    <mergeCell ref="J24:J28"/>
    <mergeCell ref="B37:B41"/>
    <mergeCell ref="J37:J41"/>
    <mergeCell ref="B68:B72"/>
    <mergeCell ref="J68:J7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5</xdr:col>
                    <xdr:colOff>0</xdr:colOff>
                    <xdr:row>5</xdr:row>
                    <xdr:rowOff>0</xdr:rowOff>
                  </from>
                  <to>
                    <xdr:col>6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5</xdr:col>
                    <xdr:colOff>0</xdr:colOff>
                    <xdr:row>49</xdr:row>
                    <xdr:rowOff>0</xdr:rowOff>
                  </from>
                  <to>
                    <xdr:col>6</xdr:col>
                    <xdr:colOff>0</xdr:colOff>
                    <xdr:row>50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5B04-15F8-486F-B872-B6F0895B12BF}">
  <dimension ref="B1:L115"/>
  <sheetViews>
    <sheetView showGridLines="0" zoomScale="79" workbookViewId="0">
      <pane ySplit="1" topLeftCell="A62" activePane="bottomLeft" state="frozen"/>
      <selection pane="bottomLeft" activeCell="F9" sqref="F9"/>
    </sheetView>
  </sheetViews>
  <sheetFormatPr defaultRowHeight="14.25" outlineLevelRow="1"/>
  <cols>
    <col min="2" max="12" width="11.86328125" customWidth="1"/>
  </cols>
  <sheetData>
    <row r="1" spans="2:12" ht="50" customHeight="1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2:12" ht="15.7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2" ht="15" customHeight="1">
      <c r="B3" s="410" t="s">
        <v>9</v>
      </c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2:12" ht="15" customHeight="1" outlineLevel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2:12" ht="15" customHeight="1" outlineLevel="1" thickBot="1">
      <c r="B5" s="47" t="s">
        <v>224</v>
      </c>
      <c r="C5" s="16"/>
      <c r="D5" s="16"/>
      <c r="E5" s="16"/>
      <c r="F5" s="16"/>
      <c r="G5" s="51">
        <f>F101</f>
        <v>2026</v>
      </c>
      <c r="H5" s="51">
        <f>G5+1</f>
        <v>2027</v>
      </c>
      <c r="I5" s="51">
        <f t="shared" ref="I5:K5" si="0">H5+1</f>
        <v>2028</v>
      </c>
      <c r="J5" s="51">
        <f t="shared" si="0"/>
        <v>2029</v>
      </c>
      <c r="K5" s="51">
        <f t="shared" si="0"/>
        <v>2030</v>
      </c>
      <c r="L5" s="52" t="s">
        <v>10</v>
      </c>
    </row>
    <row r="6" spans="2:12" ht="15" customHeight="1" outlineLevel="1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2:12" ht="15" customHeight="1" outlineLevel="1">
      <c r="B7" s="48" t="s">
        <v>11</v>
      </c>
      <c r="C7" s="16"/>
      <c r="D7" s="535">
        <f>Outputs!F6</f>
        <v>2</v>
      </c>
      <c r="E7" s="16"/>
      <c r="F7" s="16"/>
      <c r="G7" s="16"/>
      <c r="H7" s="16"/>
      <c r="I7" s="16"/>
      <c r="J7" s="16"/>
      <c r="K7" s="16"/>
      <c r="L7" s="16"/>
    </row>
    <row r="8" spans="2:12" ht="15" customHeight="1" outlineLevel="1">
      <c r="B8" s="49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2:12" ht="15" customHeight="1" outlineLevel="1">
      <c r="B9" s="49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2:12" ht="15" customHeight="1" outlineLevel="1">
      <c r="B10" s="48" t="s">
        <v>201</v>
      </c>
      <c r="C10" s="16"/>
      <c r="D10" s="16"/>
      <c r="E10" s="16"/>
      <c r="F10" s="16"/>
      <c r="G10" s="374" cm="1">
        <f t="array" ref="G10">INDEX(G12:G14,$D$7)</f>
        <v>3.6999999999999998E-2</v>
      </c>
      <c r="H10" s="375" cm="1">
        <f t="array" ref="H10">INDEX(H12:H14,$D$7)</f>
        <v>0.04</v>
      </c>
      <c r="I10" s="375" cm="1">
        <f t="array" ref="I10">INDEX(I12:I14,$D$7)</f>
        <v>0.04</v>
      </c>
      <c r="J10" s="375" cm="1">
        <f t="array" ref="J10">INDEX(J12:J14,$D$7)</f>
        <v>0.04</v>
      </c>
      <c r="K10" s="375" cm="1">
        <f t="array" ref="K10">INDEX(K12:K14,$D$7)</f>
        <v>0.04</v>
      </c>
      <c r="L10" s="376" cm="1">
        <f t="array" ref="L10">INDEX(L12:L14,$D$7)</f>
        <v>0.04</v>
      </c>
    </row>
    <row r="11" spans="2:12" ht="15" customHeight="1" outlineLevel="1">
      <c r="B11" s="48"/>
      <c r="C11" s="16"/>
      <c r="D11" s="16"/>
      <c r="E11" s="16"/>
      <c r="F11" s="16"/>
      <c r="G11" s="49"/>
      <c r="H11" s="49"/>
      <c r="I11" s="49"/>
      <c r="J11" s="49"/>
      <c r="K11" s="49"/>
      <c r="L11" s="49"/>
    </row>
    <row r="12" spans="2:12" ht="15" customHeight="1" outlineLevel="1">
      <c r="B12" s="55" t="s">
        <v>12</v>
      </c>
      <c r="C12" s="16"/>
      <c r="D12" s="16"/>
      <c r="E12" s="16"/>
      <c r="F12" s="16"/>
      <c r="G12" s="395">
        <v>0.05</v>
      </c>
      <c r="H12" s="396">
        <v>0.05</v>
      </c>
      <c r="I12" s="396">
        <v>0.05</v>
      </c>
      <c r="J12" s="396">
        <v>0.05</v>
      </c>
      <c r="K12" s="396">
        <v>0.05</v>
      </c>
      <c r="L12" s="397">
        <v>0.05</v>
      </c>
    </row>
    <row r="13" spans="2:12" ht="15" customHeight="1" outlineLevel="1">
      <c r="B13" s="55" t="s">
        <v>13</v>
      </c>
      <c r="C13" s="16"/>
      <c r="D13" s="16"/>
      <c r="E13" s="16"/>
      <c r="F13" s="16"/>
      <c r="G13" s="398">
        <v>3.6999999999999998E-2</v>
      </c>
      <c r="H13" s="399">
        <v>0.04</v>
      </c>
      <c r="I13" s="399">
        <v>0.04</v>
      </c>
      <c r="J13" s="399">
        <v>0.04</v>
      </c>
      <c r="K13" s="399">
        <v>0.04</v>
      </c>
      <c r="L13" s="400">
        <v>0.04</v>
      </c>
    </row>
    <row r="14" spans="2:12" ht="15" customHeight="1" outlineLevel="1">
      <c r="B14" s="55" t="s">
        <v>14</v>
      </c>
      <c r="C14" s="16"/>
      <c r="D14" s="16"/>
      <c r="E14" s="16"/>
      <c r="F14" s="16"/>
      <c r="G14" s="401">
        <v>0.03</v>
      </c>
      <c r="H14" s="402">
        <v>0.03</v>
      </c>
      <c r="I14" s="402">
        <v>0.03</v>
      </c>
      <c r="J14" s="402">
        <v>0.03</v>
      </c>
      <c r="K14" s="402">
        <v>0.03</v>
      </c>
      <c r="L14" s="403">
        <v>0.03</v>
      </c>
    </row>
    <row r="15" spans="2:12" ht="15" customHeight="1" outlineLevel="1">
      <c r="B15" s="49"/>
      <c r="C15" s="16"/>
      <c r="D15" s="16"/>
      <c r="E15" s="16"/>
      <c r="F15" s="16"/>
      <c r="G15" s="49"/>
      <c r="H15" s="49"/>
      <c r="I15" s="49"/>
      <c r="J15" s="49"/>
      <c r="K15" s="49"/>
      <c r="L15" s="49"/>
    </row>
    <row r="16" spans="2:12" ht="15" customHeight="1" outlineLevel="1">
      <c r="B16" s="48" t="s">
        <v>202</v>
      </c>
      <c r="C16" s="16"/>
      <c r="D16" s="16"/>
      <c r="E16" s="16"/>
      <c r="F16" s="16"/>
      <c r="G16" s="374" cm="1">
        <f t="array" ref="G16">INDEX(G18:G20,$D$7)</f>
        <v>4.5999999999999999E-2</v>
      </c>
      <c r="H16" s="375" cm="1">
        <f t="array" ref="H16">INDEX(H18:H20,$D$7)</f>
        <v>0.05</v>
      </c>
      <c r="I16" s="375" cm="1">
        <f t="array" ref="I16">INDEX(I18:I20,$D$7)</f>
        <v>0.05</v>
      </c>
      <c r="J16" s="375" cm="1">
        <f t="array" ref="J16">INDEX(J18:J20,$D$7)</f>
        <v>0.05</v>
      </c>
      <c r="K16" s="375" cm="1">
        <f t="array" ref="K16">INDEX(K18:K20,$D$7)</f>
        <v>0.05</v>
      </c>
      <c r="L16" s="376" cm="1">
        <f t="array" ref="L16">INDEX(L18:L20,$D$7)</f>
        <v>0.05</v>
      </c>
    </row>
    <row r="17" spans="2:12" ht="15" customHeight="1" outlineLevel="1">
      <c r="B17" s="48"/>
      <c r="C17" s="16"/>
      <c r="D17" s="16"/>
      <c r="E17" s="16"/>
      <c r="F17" s="16"/>
      <c r="G17" s="49"/>
      <c r="H17" s="49"/>
      <c r="I17" s="49"/>
      <c r="J17" s="49"/>
      <c r="K17" s="49"/>
      <c r="L17" s="49"/>
    </row>
    <row r="18" spans="2:12" ht="15" customHeight="1" outlineLevel="1">
      <c r="B18" s="55" t="s">
        <v>12</v>
      </c>
      <c r="C18" s="16"/>
      <c r="D18" s="16"/>
      <c r="E18" s="16"/>
      <c r="F18" s="16"/>
      <c r="G18" s="395">
        <v>0.06</v>
      </c>
      <c r="H18" s="396">
        <v>0.06</v>
      </c>
      <c r="I18" s="396">
        <v>0.06</v>
      </c>
      <c r="J18" s="396">
        <v>0.06</v>
      </c>
      <c r="K18" s="396">
        <v>0.06</v>
      </c>
      <c r="L18" s="397">
        <v>0.06</v>
      </c>
    </row>
    <row r="19" spans="2:12" ht="15" customHeight="1" outlineLevel="1">
      <c r="B19" s="55" t="s">
        <v>13</v>
      </c>
      <c r="C19" s="16"/>
      <c r="D19" s="16"/>
      <c r="E19" s="16"/>
      <c r="F19" s="16"/>
      <c r="G19" s="398">
        <v>4.5999999999999999E-2</v>
      </c>
      <c r="H19" s="399">
        <v>0.05</v>
      </c>
      <c r="I19" s="399">
        <v>0.05</v>
      </c>
      <c r="J19" s="399">
        <v>0.05</v>
      </c>
      <c r="K19" s="399">
        <v>0.05</v>
      </c>
      <c r="L19" s="400">
        <v>0.05</v>
      </c>
    </row>
    <row r="20" spans="2:12" ht="15" customHeight="1" outlineLevel="1">
      <c r="B20" s="55" t="s">
        <v>14</v>
      </c>
      <c r="C20" s="16"/>
      <c r="D20" s="16"/>
      <c r="E20" s="16"/>
      <c r="F20" s="16"/>
      <c r="G20" s="401">
        <v>0.04</v>
      </c>
      <c r="H20" s="402">
        <v>0.04</v>
      </c>
      <c r="I20" s="402">
        <v>0.04</v>
      </c>
      <c r="J20" s="402">
        <v>0.04</v>
      </c>
      <c r="K20" s="402">
        <v>0.04</v>
      </c>
      <c r="L20" s="403">
        <v>0.04</v>
      </c>
    </row>
    <row r="21" spans="2:12" ht="15" customHeight="1" outlineLevel="1">
      <c r="B21" s="49"/>
      <c r="C21" s="16"/>
      <c r="D21" s="16"/>
      <c r="E21" s="16"/>
      <c r="F21" s="16"/>
      <c r="G21" s="49"/>
      <c r="H21" s="49"/>
      <c r="I21" s="49"/>
      <c r="J21" s="49"/>
      <c r="K21" s="49"/>
      <c r="L21" s="49"/>
    </row>
    <row r="22" spans="2:12" ht="15" customHeight="1" outlineLevel="1">
      <c r="B22" s="48" t="s">
        <v>203</v>
      </c>
      <c r="C22" s="16"/>
      <c r="D22" s="16"/>
      <c r="E22" s="16"/>
      <c r="F22" s="16"/>
      <c r="G22" s="374" cm="1">
        <f t="array" ref="G22">INDEX(G24:G26,$D$7)</f>
        <v>4.9000000000000002E-2</v>
      </c>
      <c r="H22" s="375" cm="1">
        <f t="array" ref="H22">INDEX(H24:H26,$D$7)</f>
        <v>0.05</v>
      </c>
      <c r="I22" s="375" cm="1">
        <f t="array" ref="I22">INDEX(I24:I26,$D$7)</f>
        <v>0.05</v>
      </c>
      <c r="J22" s="375" cm="1">
        <f t="array" ref="J22">INDEX(J24:J26,$D$7)</f>
        <v>0.05</v>
      </c>
      <c r="K22" s="375" cm="1">
        <f t="array" ref="K22">INDEX(K24:K26,$D$7)</f>
        <v>0.05</v>
      </c>
      <c r="L22" s="376" cm="1">
        <f t="array" ref="L22">INDEX(L24:L26,$D$7)</f>
        <v>0.05</v>
      </c>
    </row>
    <row r="23" spans="2:12" ht="15" customHeight="1" outlineLevel="1">
      <c r="B23" s="48"/>
      <c r="C23" s="16"/>
      <c r="D23" s="16"/>
      <c r="E23" s="16"/>
      <c r="F23" s="16"/>
      <c r="G23" s="49"/>
      <c r="H23" s="49"/>
      <c r="I23" s="49"/>
      <c r="J23" s="49"/>
      <c r="K23" s="49"/>
      <c r="L23" s="49"/>
    </row>
    <row r="24" spans="2:12" ht="15" customHeight="1" outlineLevel="1">
      <c r="B24" s="55" t="s">
        <v>12</v>
      </c>
      <c r="C24" s="16"/>
      <c r="D24" s="16"/>
      <c r="E24" s="16"/>
      <c r="F24" s="16"/>
      <c r="G24" s="395">
        <v>0.06</v>
      </c>
      <c r="H24" s="396">
        <v>0.06</v>
      </c>
      <c r="I24" s="396">
        <v>0.06</v>
      </c>
      <c r="J24" s="396">
        <v>0.06</v>
      </c>
      <c r="K24" s="396">
        <v>0.06</v>
      </c>
      <c r="L24" s="397">
        <v>0.06</v>
      </c>
    </row>
    <row r="25" spans="2:12" ht="15" customHeight="1" outlineLevel="1">
      <c r="B25" s="55" t="s">
        <v>13</v>
      </c>
      <c r="C25" s="16"/>
      <c r="D25" s="16"/>
      <c r="E25" s="16"/>
      <c r="F25" s="16"/>
      <c r="G25" s="398">
        <v>4.9000000000000002E-2</v>
      </c>
      <c r="H25" s="399">
        <v>0.05</v>
      </c>
      <c r="I25" s="399">
        <v>0.05</v>
      </c>
      <c r="J25" s="399">
        <v>0.05</v>
      </c>
      <c r="K25" s="399">
        <v>0.05</v>
      </c>
      <c r="L25" s="400">
        <v>0.05</v>
      </c>
    </row>
    <row r="26" spans="2:12" ht="15" customHeight="1" outlineLevel="1">
      <c r="B26" s="55" t="s">
        <v>14</v>
      </c>
      <c r="C26" s="16"/>
      <c r="D26" s="16"/>
      <c r="E26" s="16"/>
      <c r="F26" s="16"/>
      <c r="G26" s="401">
        <v>0.04</v>
      </c>
      <c r="H26" s="402">
        <v>0.04</v>
      </c>
      <c r="I26" s="402">
        <v>0.04</v>
      </c>
      <c r="J26" s="402">
        <v>0.04</v>
      </c>
      <c r="K26" s="402">
        <v>0.04</v>
      </c>
      <c r="L26" s="403">
        <v>0.04</v>
      </c>
    </row>
    <row r="27" spans="2:12" ht="15" customHeight="1" outlineLevel="1">
      <c r="B27" s="49"/>
      <c r="C27" s="16"/>
      <c r="D27" s="16"/>
      <c r="E27" s="16"/>
      <c r="F27" s="16"/>
      <c r="G27" s="49"/>
      <c r="H27" s="49"/>
      <c r="I27" s="49"/>
      <c r="J27" s="49"/>
      <c r="K27" s="49"/>
      <c r="L27" s="49"/>
    </row>
    <row r="28" spans="2:12" ht="15" customHeight="1" outlineLevel="1">
      <c r="B28" s="48" t="s">
        <v>204</v>
      </c>
      <c r="C28" s="16"/>
      <c r="D28" s="16"/>
      <c r="E28" s="16"/>
      <c r="F28" s="16"/>
      <c r="G28" s="374" cm="1">
        <f t="array" ref="G28">INDEX(G30:G32,$D$7)</f>
        <v>2.4E-2</v>
      </c>
      <c r="H28" s="375" cm="1">
        <f t="array" ref="H28">INDEX(H30:H32,$D$7)</f>
        <v>0.02</v>
      </c>
      <c r="I28" s="375" cm="1">
        <f t="array" ref="I28">INDEX(I30:I32,$D$7)</f>
        <v>0.02</v>
      </c>
      <c r="J28" s="375" cm="1">
        <f t="array" ref="J28">INDEX(J30:J32,$D$7)</f>
        <v>0.02</v>
      </c>
      <c r="K28" s="375" cm="1">
        <f t="array" ref="K28">INDEX(K30:K32,$D$7)</f>
        <v>0.02</v>
      </c>
      <c r="L28" s="376" cm="1">
        <f t="array" ref="L28">INDEX(L30:L32,$D$7)</f>
        <v>0.02</v>
      </c>
    </row>
    <row r="29" spans="2:12" ht="15" customHeight="1" outlineLevel="1">
      <c r="B29" s="48"/>
      <c r="C29" s="16"/>
      <c r="D29" s="16"/>
      <c r="E29" s="16"/>
      <c r="F29" s="16"/>
      <c r="G29" s="49"/>
      <c r="H29" s="49"/>
      <c r="I29" s="49"/>
      <c r="J29" s="49"/>
      <c r="K29" s="49"/>
      <c r="L29" s="49"/>
    </row>
    <row r="30" spans="2:12" ht="15" customHeight="1" outlineLevel="1">
      <c r="B30" s="55" t="s">
        <v>12</v>
      </c>
      <c r="C30" s="16"/>
      <c r="D30" s="16"/>
      <c r="E30" s="16"/>
      <c r="F30" s="16"/>
      <c r="G30" s="395">
        <v>0.03</v>
      </c>
      <c r="H30" s="396">
        <v>0.03</v>
      </c>
      <c r="I30" s="396">
        <v>0.03</v>
      </c>
      <c r="J30" s="396">
        <v>0.03</v>
      </c>
      <c r="K30" s="396">
        <v>0.03</v>
      </c>
      <c r="L30" s="397">
        <v>0.03</v>
      </c>
    </row>
    <row r="31" spans="2:12" ht="15" customHeight="1" outlineLevel="1">
      <c r="B31" s="55" t="s">
        <v>13</v>
      </c>
      <c r="C31" s="16"/>
      <c r="D31" s="16"/>
      <c r="E31" s="16"/>
      <c r="F31" s="16"/>
      <c r="G31" s="398">
        <v>2.4E-2</v>
      </c>
      <c r="H31" s="399">
        <v>0.02</v>
      </c>
      <c r="I31" s="399">
        <v>0.02</v>
      </c>
      <c r="J31" s="399">
        <v>0.02</v>
      </c>
      <c r="K31" s="399">
        <v>0.02</v>
      </c>
      <c r="L31" s="400">
        <v>0.02</v>
      </c>
    </row>
    <row r="32" spans="2:12" ht="15" customHeight="1" outlineLevel="1">
      <c r="B32" s="55" t="s">
        <v>14</v>
      </c>
      <c r="C32" s="16"/>
      <c r="D32" s="16"/>
      <c r="E32" s="16"/>
      <c r="F32" s="16"/>
      <c r="G32" s="401">
        <v>0.01</v>
      </c>
      <c r="H32" s="402">
        <v>0.01</v>
      </c>
      <c r="I32" s="402">
        <v>0.01</v>
      </c>
      <c r="J32" s="402">
        <v>0.01</v>
      </c>
      <c r="K32" s="402">
        <v>0.01</v>
      </c>
      <c r="L32" s="403">
        <v>0.01</v>
      </c>
    </row>
    <row r="33" spans="2:12" ht="15" customHeight="1" outlineLevel="1">
      <c r="B33" s="49"/>
      <c r="C33" s="16"/>
      <c r="D33" s="16"/>
      <c r="E33" s="16"/>
      <c r="F33" s="16"/>
      <c r="G33" s="49"/>
      <c r="H33" s="49"/>
      <c r="I33" s="49"/>
      <c r="J33" s="49"/>
      <c r="K33" s="49"/>
      <c r="L33" s="49"/>
    </row>
    <row r="34" spans="2:12" ht="15" customHeight="1" outlineLevel="1">
      <c r="B34" s="49"/>
      <c r="C34" s="16"/>
      <c r="D34" s="16"/>
      <c r="E34" s="16"/>
      <c r="F34" s="16"/>
      <c r="G34" s="49"/>
      <c r="H34" s="49"/>
      <c r="I34" s="49"/>
      <c r="J34" s="49"/>
      <c r="K34" s="49"/>
      <c r="L34" s="49"/>
    </row>
    <row r="35" spans="2:12" ht="15" customHeight="1" outlineLevel="1">
      <c r="B35" s="48" t="s">
        <v>15</v>
      </c>
      <c r="C35" s="16"/>
      <c r="D35" s="16"/>
      <c r="E35" s="16"/>
      <c r="F35" s="16"/>
      <c r="G35" s="571" cm="1">
        <f t="array" ref="G35">INDEX(G37:G39,$D$7)</f>
        <v>1091.6137200000001</v>
      </c>
      <c r="H35" s="572" cm="1">
        <f t="array" ref="H35">INDEX(H37:H39,$D$7)</f>
        <v>1135.1988096000002</v>
      </c>
      <c r="I35" s="572" cm="1">
        <f t="array" ref="I35">INDEX(I37:I39,$D$7)</f>
        <v>1180.6888614720001</v>
      </c>
      <c r="J35" s="572" cm="1">
        <f t="array" ref="J35">INDEX(J37:J39,$D$7)</f>
        <v>1228.1714626742403</v>
      </c>
      <c r="K35" s="572" cm="1">
        <f t="array" ref="K35">INDEX(K37:K39,$D$7)</f>
        <v>1277.7383393883169</v>
      </c>
      <c r="L35" s="573" cm="1">
        <f t="array" ref="L35">INDEX(L37:L39,$D$7)</f>
        <v>1329.485555590423</v>
      </c>
    </row>
    <row r="36" spans="2:12" ht="15" customHeight="1" outlineLevel="1">
      <c r="B36" s="48"/>
      <c r="C36" s="16"/>
      <c r="D36" s="16"/>
      <c r="E36" s="16"/>
      <c r="F36" s="16"/>
      <c r="G36" s="49"/>
      <c r="H36" s="49"/>
      <c r="I36" s="49"/>
      <c r="J36" s="49"/>
      <c r="K36" s="49"/>
      <c r="L36" s="49"/>
    </row>
    <row r="37" spans="2:12" ht="15" customHeight="1" outlineLevel="1">
      <c r="B37" s="50" t="s">
        <v>12</v>
      </c>
      <c r="C37" s="16"/>
      <c r="D37" s="16"/>
      <c r="E37" s="16"/>
      <c r="F37" s="16"/>
      <c r="G37" s="574">
        <f>Model!I37*0.018</f>
        <v>982.45234799999992</v>
      </c>
      <c r="H37" s="575">
        <f>Model!J37*0.018</f>
        <v>1021.67892864</v>
      </c>
      <c r="I37" s="575">
        <f>Model!K37*0.018</f>
        <v>1062.6199753248</v>
      </c>
      <c r="J37" s="575">
        <f>Model!L37*0.018</f>
        <v>1105.354316406816</v>
      </c>
      <c r="K37" s="575">
        <f>Model!M37*0.018</f>
        <v>1149.9645054494852</v>
      </c>
      <c r="L37" s="576">
        <f>Model!N37*0.018</f>
        <v>1196.5370000313806</v>
      </c>
    </row>
    <row r="38" spans="2:12" ht="15" customHeight="1" outlineLevel="1">
      <c r="B38" s="50" t="s">
        <v>13</v>
      </c>
      <c r="C38" s="16"/>
      <c r="D38" s="16"/>
      <c r="E38" s="16"/>
      <c r="F38" s="16"/>
      <c r="G38" s="568">
        <f>Model!I37*0.02</f>
        <v>1091.6137200000001</v>
      </c>
      <c r="H38" s="569">
        <f>Model!J37*0.02</f>
        <v>1135.1988096000002</v>
      </c>
      <c r="I38" s="569">
        <f>Model!K37*0.02</f>
        <v>1180.6888614720001</v>
      </c>
      <c r="J38" s="569">
        <f>Model!L37*0.02</f>
        <v>1228.1714626742403</v>
      </c>
      <c r="K38" s="569">
        <f>Model!M37*0.02</f>
        <v>1277.7383393883169</v>
      </c>
      <c r="L38" s="570">
        <f>Model!N37*0.02</f>
        <v>1329.485555590423</v>
      </c>
    </row>
    <row r="39" spans="2:12" ht="15" customHeight="1" outlineLevel="1">
      <c r="B39" s="50" t="s">
        <v>14</v>
      </c>
      <c r="C39" s="16"/>
      <c r="D39" s="16"/>
      <c r="E39" s="16"/>
      <c r="F39" s="16"/>
      <c r="G39" s="577">
        <f>Model!I37*0.023</f>
        <v>1255.3557780000001</v>
      </c>
      <c r="H39" s="578">
        <f>Model!J37*0.023</f>
        <v>1305.47863104</v>
      </c>
      <c r="I39" s="578">
        <f>Model!K37*0.023</f>
        <v>1357.7921906928</v>
      </c>
      <c r="J39" s="578">
        <f>Model!L37*0.023</f>
        <v>1412.3971820753761</v>
      </c>
      <c r="K39" s="578">
        <f>Model!M37*0.023</f>
        <v>1469.3990902965645</v>
      </c>
      <c r="L39" s="579">
        <f>Model!N37*0.023</f>
        <v>1528.9083889289864</v>
      </c>
    </row>
    <row r="40" spans="2:12" ht="15" customHeight="1" outlineLevel="1">
      <c r="B40" s="49"/>
      <c r="C40" s="16"/>
      <c r="D40" s="16"/>
      <c r="E40" s="16"/>
      <c r="F40" s="16"/>
      <c r="G40" s="49"/>
      <c r="H40" s="49"/>
      <c r="I40" s="49"/>
      <c r="J40" s="49"/>
      <c r="K40" s="49"/>
      <c r="L40" s="49"/>
    </row>
    <row r="41" spans="2:12" ht="15" customHeight="1" outlineLevel="1">
      <c r="B41" s="49"/>
      <c r="C41" s="16"/>
      <c r="D41" s="16"/>
      <c r="E41" s="16"/>
      <c r="F41" s="16"/>
      <c r="G41" s="49"/>
      <c r="H41" s="49"/>
      <c r="I41" s="49"/>
      <c r="J41" s="49"/>
      <c r="K41" s="49"/>
      <c r="L41" s="49"/>
    </row>
    <row r="42" spans="2:12" ht="15" customHeight="1" outlineLevel="1">
      <c r="B42" s="48" t="s">
        <v>16</v>
      </c>
      <c r="C42" s="16"/>
      <c r="D42" s="16"/>
      <c r="E42" s="16"/>
      <c r="F42" s="16"/>
      <c r="G42" s="383">
        <v>3.2000000000000001E-2</v>
      </c>
      <c r="H42" s="384">
        <v>2.4E-2</v>
      </c>
      <c r="I42" s="384">
        <v>0.03</v>
      </c>
      <c r="J42" s="384">
        <v>0.03</v>
      </c>
      <c r="K42" s="384">
        <v>0.03</v>
      </c>
      <c r="L42" s="385">
        <v>0.03</v>
      </c>
    </row>
    <row r="43" spans="2:12" ht="15" customHeight="1" outlineLevel="1">
      <c r="B43" s="49"/>
      <c r="C43" s="16"/>
      <c r="D43" s="16"/>
      <c r="E43" s="16"/>
      <c r="F43" s="16"/>
      <c r="G43" s="49"/>
      <c r="H43" s="49"/>
      <c r="I43" s="49"/>
      <c r="J43" s="49"/>
      <c r="K43" s="49"/>
      <c r="L43" s="49"/>
    </row>
    <row r="44" spans="2:12" ht="15" customHeight="1" outlineLevel="1">
      <c r="B44" s="48" t="s">
        <v>190</v>
      </c>
      <c r="C44" s="16"/>
      <c r="D44" s="16"/>
      <c r="E44" s="16"/>
      <c r="F44" s="16"/>
      <c r="G44" s="49"/>
      <c r="H44" s="49"/>
      <c r="I44" s="49"/>
      <c r="J44" s="49"/>
      <c r="K44" s="49"/>
      <c r="L44" s="49"/>
    </row>
    <row r="45" spans="2:12" ht="15" customHeight="1" outlineLevel="1">
      <c r="B45" s="369" t="s">
        <v>87</v>
      </c>
      <c r="C45" s="16"/>
      <c r="D45" s="16"/>
      <c r="E45" s="16"/>
      <c r="F45" s="16"/>
      <c r="G45" s="386">
        <v>72</v>
      </c>
      <c r="H45" s="387">
        <v>70</v>
      </c>
      <c r="I45" s="387">
        <v>70</v>
      </c>
      <c r="J45" s="387">
        <v>70</v>
      </c>
      <c r="K45" s="387">
        <v>70</v>
      </c>
      <c r="L45" s="388">
        <v>70</v>
      </c>
    </row>
    <row r="46" spans="2:12" ht="15" customHeight="1" outlineLevel="1">
      <c r="B46" s="369" t="s">
        <v>89</v>
      </c>
      <c r="C46" s="16"/>
      <c r="D46" s="16"/>
      <c r="E46" s="16"/>
      <c r="F46" s="16"/>
      <c r="G46" s="389">
        <v>75</v>
      </c>
      <c r="H46" s="390">
        <v>72</v>
      </c>
      <c r="I46" s="390">
        <v>72</v>
      </c>
      <c r="J46" s="390">
        <v>72</v>
      </c>
      <c r="K46" s="390">
        <v>72</v>
      </c>
      <c r="L46" s="391">
        <v>72</v>
      </c>
    </row>
    <row r="47" spans="2:12" ht="15" customHeight="1" outlineLevel="1">
      <c r="B47" s="369" t="s">
        <v>90</v>
      </c>
      <c r="C47" s="16"/>
      <c r="D47" s="16"/>
      <c r="E47" s="16"/>
      <c r="F47" s="16"/>
      <c r="G47" s="392">
        <v>22</v>
      </c>
      <c r="H47" s="393">
        <v>20</v>
      </c>
      <c r="I47" s="393">
        <v>20</v>
      </c>
      <c r="J47" s="393">
        <v>20</v>
      </c>
      <c r="K47" s="393">
        <v>20</v>
      </c>
      <c r="L47" s="394">
        <v>20</v>
      </c>
    </row>
    <row r="48" spans="2:12" ht="15" customHeight="1" outlineLevel="1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2:12" ht="1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 spans="2:12" ht="15" customHeight="1">
      <c r="B50" s="410" t="s">
        <v>17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2:12" ht="15" customHeight="1" outlineLevel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2:12" ht="15" customHeight="1" outlineLevel="1">
      <c r="B52" s="18" t="s">
        <v>39</v>
      </c>
      <c r="C52" s="36"/>
      <c r="D52" s="36"/>
      <c r="E52" s="36"/>
      <c r="F52" s="30"/>
      <c r="G52" s="30"/>
      <c r="H52" s="30"/>
      <c r="I52" s="63"/>
      <c r="J52" s="63"/>
      <c r="K52" s="63"/>
      <c r="L52" s="63"/>
    </row>
    <row r="53" spans="2:12" ht="15" customHeight="1" outlineLevel="1">
      <c r="B53" s="16"/>
      <c r="C53" s="36"/>
      <c r="D53" s="36"/>
      <c r="E53" s="36"/>
      <c r="F53" s="30"/>
      <c r="G53" s="64"/>
      <c r="H53" s="64"/>
      <c r="I53" s="65"/>
      <c r="J53" s="65"/>
      <c r="K53" s="65"/>
      <c r="L53" s="65"/>
    </row>
    <row r="54" spans="2:12" ht="15" customHeight="1" outlineLevel="1">
      <c r="B54" s="581"/>
      <c r="C54" s="582"/>
      <c r="D54" s="582"/>
      <c r="E54" s="582"/>
      <c r="F54" s="583"/>
      <c r="G54" s="584"/>
      <c r="H54" s="585" t="s">
        <v>225</v>
      </c>
      <c r="I54" s="586" t="s">
        <v>226</v>
      </c>
      <c r="J54" s="586" t="s">
        <v>226</v>
      </c>
      <c r="K54" s="585" t="s">
        <v>227</v>
      </c>
      <c r="L54" s="587" t="s">
        <v>228</v>
      </c>
    </row>
    <row r="55" spans="2:12" ht="15" customHeight="1" outlineLevel="1" thickBot="1">
      <c r="B55" s="35" t="s">
        <v>229</v>
      </c>
      <c r="C55" s="35"/>
      <c r="D55" s="588" t="s">
        <v>230</v>
      </c>
      <c r="E55" s="35"/>
      <c r="F55" s="290" t="s">
        <v>231</v>
      </c>
      <c r="G55" s="290" t="s">
        <v>210</v>
      </c>
      <c r="H55" s="589" t="s">
        <v>232</v>
      </c>
      <c r="I55" s="590" t="s">
        <v>210</v>
      </c>
      <c r="J55" s="590" t="s">
        <v>233</v>
      </c>
      <c r="K55" s="589" t="s">
        <v>234</v>
      </c>
      <c r="L55" s="589" t="s">
        <v>235</v>
      </c>
    </row>
    <row r="56" spans="2:12" ht="15" customHeight="1" outlineLevel="1">
      <c r="B56" s="591"/>
      <c r="C56" s="591"/>
      <c r="D56" s="591"/>
      <c r="E56" s="591"/>
      <c r="F56" s="592"/>
      <c r="G56" s="592"/>
      <c r="H56" s="593"/>
      <c r="I56" s="16"/>
      <c r="J56" s="16"/>
      <c r="K56" s="16"/>
      <c r="L56" s="16"/>
    </row>
    <row r="57" spans="2:12" ht="15" customHeight="1" outlineLevel="1">
      <c r="B57" s="622" t="s">
        <v>245</v>
      </c>
      <c r="C57" s="53"/>
      <c r="D57" s="594" t="s">
        <v>250</v>
      </c>
      <c r="E57" s="594"/>
      <c r="F57" s="595">
        <v>19874</v>
      </c>
      <c r="G57" s="595">
        <v>106200</v>
      </c>
      <c r="H57" s="596">
        <v>0.16500000000000001</v>
      </c>
      <c r="I57" s="597">
        <f>F57/G57</f>
        <v>0.18713747645951037</v>
      </c>
      <c r="J57" s="597">
        <f>F57/(F57+G57)</f>
        <v>0.15763757793042182</v>
      </c>
      <c r="K57" s="598">
        <v>0.49</v>
      </c>
      <c r="L57" s="599">
        <f>K57/(1+(1-H57)*I57)</f>
        <v>0.42378019458317412</v>
      </c>
    </row>
    <row r="58" spans="2:12" ht="15" customHeight="1" outlineLevel="1">
      <c r="B58" s="622" t="s">
        <v>246</v>
      </c>
      <c r="C58" s="53"/>
      <c r="D58" s="594" t="s">
        <v>250</v>
      </c>
      <c r="E58" s="594"/>
      <c r="F58" s="595">
        <v>15204</v>
      </c>
      <c r="G58" s="595">
        <v>68100</v>
      </c>
      <c r="H58" s="596">
        <v>0.17199999999999999</v>
      </c>
      <c r="I58" s="597">
        <f>F58/G58</f>
        <v>0.22325991189427313</v>
      </c>
      <c r="J58" s="597">
        <f>F58/(F58+G58)</f>
        <v>0.18251224430999713</v>
      </c>
      <c r="K58" s="598">
        <v>0.45</v>
      </c>
      <c r="L58" s="599">
        <f>K58/(1+(1-H58)*I58)</f>
        <v>0.37979195951979122</v>
      </c>
    </row>
    <row r="59" spans="2:12" ht="15" customHeight="1" outlineLevel="1">
      <c r="B59" s="622" t="s">
        <v>247</v>
      </c>
      <c r="C59" s="53"/>
      <c r="D59" s="594" t="s">
        <v>250</v>
      </c>
      <c r="E59" s="594"/>
      <c r="F59" s="595">
        <v>31392</v>
      </c>
      <c r="G59" s="595">
        <v>132500</v>
      </c>
      <c r="H59" s="596">
        <v>0.184</v>
      </c>
      <c r="I59" s="597">
        <f>F59/G59</f>
        <v>0.23692075471698112</v>
      </c>
      <c r="J59" s="597">
        <f>F59/(F59+G59)</f>
        <v>0.19154077075147047</v>
      </c>
      <c r="K59" s="598">
        <v>0.79</v>
      </c>
      <c r="L59" s="599">
        <f>K59/(1+(1-H59)*I59)</f>
        <v>0.66201450035325993</v>
      </c>
    </row>
    <row r="60" spans="2:12" ht="15" customHeight="1" outlineLevel="1">
      <c r="B60" s="622" t="s">
        <v>248</v>
      </c>
      <c r="C60" s="53"/>
      <c r="D60" s="594" t="s">
        <v>250</v>
      </c>
      <c r="E60" s="594"/>
      <c r="F60" s="595">
        <v>8141</v>
      </c>
      <c r="G60" s="595">
        <v>34800</v>
      </c>
      <c r="H60" s="596">
        <v>0.16800000000000001</v>
      </c>
      <c r="I60" s="597">
        <f>F60/G60</f>
        <v>0.2339367816091954</v>
      </c>
      <c r="J60" s="597">
        <f>F60/(F60+G60)</f>
        <v>0.18958571062620805</v>
      </c>
      <c r="K60" s="598">
        <v>0.55000000000000004</v>
      </c>
      <c r="L60" s="599">
        <f>K60/(1+(1-H60)*I60)</f>
        <v>0.46039151270892253</v>
      </c>
    </row>
    <row r="61" spans="2:12" ht="15" customHeight="1" outlineLevel="1">
      <c r="B61" s="621" t="s">
        <v>249</v>
      </c>
      <c r="C61" s="600"/>
      <c r="D61" s="601" t="s">
        <v>250</v>
      </c>
      <c r="E61" s="601"/>
      <c r="F61" s="602">
        <v>2474</v>
      </c>
      <c r="G61" s="602">
        <v>11200</v>
      </c>
      <c r="H61" s="596">
        <v>0.17899999999999999</v>
      </c>
      <c r="I61" s="597">
        <f>F61/G61</f>
        <v>0.22089285714285714</v>
      </c>
      <c r="J61" s="597">
        <f>F61/(F61+G61)</f>
        <v>0.18092730729852274</v>
      </c>
      <c r="K61" s="598">
        <v>0.63</v>
      </c>
      <c r="L61" s="599">
        <f>K61/(1+(1-H61)*I61)</f>
        <v>0.53328681685664003</v>
      </c>
    </row>
    <row r="62" spans="2:12" ht="15" customHeight="1" outlineLevel="1">
      <c r="B62" s="16"/>
      <c r="C62" s="217"/>
      <c r="D62" s="37"/>
      <c r="E62" s="37"/>
      <c r="F62" s="595"/>
      <c r="G62" s="595"/>
      <c r="H62" s="603"/>
      <c r="I62" s="604"/>
      <c r="J62" s="604"/>
      <c r="K62" s="605"/>
      <c r="L62" s="604"/>
    </row>
    <row r="63" spans="2:12" ht="15" customHeight="1" outlineLevel="1">
      <c r="B63" s="18"/>
      <c r="C63" s="36"/>
      <c r="D63" s="36"/>
      <c r="E63" s="36"/>
      <c r="F63" s="30"/>
      <c r="G63" s="606" t="s">
        <v>225</v>
      </c>
      <c r="H63" s="607">
        <f>AVERAGE(H57:H61)</f>
        <v>0.17359999999999998</v>
      </c>
      <c r="I63" s="608">
        <f>AVERAGE(I57:I61)</f>
        <v>0.22042955636456343</v>
      </c>
      <c r="J63" s="608">
        <f>AVERAGE(J57:J61)</f>
        <v>0.18044072218332402</v>
      </c>
      <c r="K63" s="609">
        <f>AVERAGE(K57:K61)</f>
        <v>0.58200000000000007</v>
      </c>
      <c r="L63" s="609">
        <f>AVERAGE(L57:L61)</f>
        <v>0.49185299680435757</v>
      </c>
    </row>
    <row r="64" spans="2:12" ht="15" customHeight="1" outlineLevel="1">
      <c r="B64" s="18"/>
      <c r="C64" s="36"/>
      <c r="D64" s="36"/>
      <c r="E64" s="36"/>
      <c r="F64" s="30"/>
      <c r="G64" s="610" t="s">
        <v>236</v>
      </c>
      <c r="H64" s="611">
        <f>MEDIAN(H57:H61)</f>
        <v>0.17199999999999999</v>
      </c>
      <c r="I64" s="612">
        <f>MEDIAN(I57:I61)</f>
        <v>0.22325991189427313</v>
      </c>
      <c r="J64" s="612">
        <f>MEDIAN(J57:J61)</f>
        <v>0.18251224430999713</v>
      </c>
      <c r="K64" s="613">
        <f>MEDIAN(K57:K61)</f>
        <v>0.55000000000000004</v>
      </c>
      <c r="L64" s="613">
        <f>MEDIAN(L57:L61)</f>
        <v>0.46039151270892253</v>
      </c>
    </row>
    <row r="65" spans="2:12" ht="15" customHeight="1" outlineLevel="1">
      <c r="B65" s="18"/>
      <c r="C65" s="36"/>
      <c r="D65" s="36"/>
      <c r="E65" s="36"/>
      <c r="F65" s="30"/>
      <c r="G65" s="30"/>
      <c r="H65" s="614"/>
      <c r="I65" s="615"/>
      <c r="J65" s="615"/>
      <c r="K65" s="616"/>
      <c r="L65" s="616"/>
    </row>
    <row r="66" spans="2:12" ht="15" customHeight="1" outlineLevel="1">
      <c r="B66" s="37"/>
      <c r="C66" s="36"/>
      <c r="D66" s="36"/>
      <c r="E66" s="36"/>
      <c r="F66" s="617"/>
      <c r="G66" s="123"/>
      <c r="H66" s="596"/>
      <c r="I66" s="618"/>
      <c r="J66" s="618"/>
      <c r="K66" s="598"/>
      <c r="L66" s="618"/>
    </row>
    <row r="67" spans="2:12" ht="15" customHeight="1" outlineLevel="1">
      <c r="B67" s="11" t="s">
        <v>237</v>
      </c>
      <c r="C67" s="12"/>
      <c r="D67" s="12"/>
      <c r="E67" s="12"/>
      <c r="F67" s="15"/>
      <c r="G67" s="16"/>
      <c r="H67" s="11" t="s">
        <v>238</v>
      </c>
      <c r="I67" s="34"/>
      <c r="J67" s="12"/>
      <c r="K67" s="34"/>
      <c r="L67" s="15"/>
    </row>
    <row r="68" spans="2:12" ht="15" customHeight="1" outlineLevel="1">
      <c r="B68" s="17"/>
      <c r="C68" s="17"/>
      <c r="D68" s="17"/>
      <c r="E68" s="17"/>
      <c r="F68" s="17"/>
      <c r="G68" s="21"/>
      <c r="H68" s="17"/>
      <c r="I68" s="17"/>
      <c r="J68" s="17"/>
      <c r="K68" s="17"/>
      <c r="L68" s="17"/>
    </row>
    <row r="69" spans="2:12" ht="15" customHeight="1" outlineLevel="1">
      <c r="B69" s="20" t="s">
        <v>239</v>
      </c>
      <c r="C69" s="16"/>
      <c r="D69" s="420"/>
      <c r="E69" s="420"/>
      <c r="F69" s="22">
        <v>4.3299999999999998E-2</v>
      </c>
      <c r="G69" s="21"/>
      <c r="H69" s="20" t="s">
        <v>240</v>
      </c>
      <c r="I69" s="16"/>
      <c r="J69" s="16"/>
      <c r="K69" s="16"/>
      <c r="L69" s="22">
        <v>4.1500000000000002E-2</v>
      </c>
    </row>
    <row r="70" spans="2:12" ht="15" customHeight="1" outlineLevel="1">
      <c r="B70" s="20" t="s">
        <v>241</v>
      </c>
      <c r="C70" s="16"/>
      <c r="D70" s="16"/>
      <c r="E70" s="16"/>
      <c r="F70" s="334">
        <f>L63</f>
        <v>0.49185299680435757</v>
      </c>
      <c r="G70" s="25"/>
      <c r="H70" s="20" t="s">
        <v>242</v>
      </c>
      <c r="I70" s="16"/>
      <c r="J70" s="21"/>
      <c r="K70" s="16"/>
      <c r="L70" s="24">
        <f>F72</f>
        <v>2.679212830114815E-2</v>
      </c>
    </row>
    <row r="71" spans="2:12" ht="15" customHeight="1" outlineLevel="1">
      <c r="B71" s="619" t="s">
        <v>243</v>
      </c>
      <c r="C71" s="16"/>
      <c r="D71" s="16"/>
      <c r="E71" s="16"/>
      <c r="F71" s="620">
        <f>F70*(1+(1-L78)*F82)</f>
        <v>0.61875584991104271</v>
      </c>
      <c r="G71" s="25"/>
      <c r="H71" s="20" t="s">
        <v>244</v>
      </c>
      <c r="I71" s="16"/>
      <c r="J71" s="16"/>
      <c r="K71" s="16"/>
      <c r="L71" s="26">
        <v>6.9999999999999999E-4</v>
      </c>
    </row>
    <row r="72" spans="2:12" ht="15" customHeight="1" outlineLevel="1">
      <c r="B72" s="20" t="s">
        <v>242</v>
      </c>
      <c r="C72" s="16"/>
      <c r="D72" s="16"/>
      <c r="E72" s="16"/>
      <c r="F72" s="24">
        <f>F71*F69</f>
        <v>2.679212830114815E-2</v>
      </c>
      <c r="G72" s="25"/>
      <c r="H72" s="20" t="s">
        <v>238</v>
      </c>
      <c r="I72" s="16"/>
      <c r="J72" s="21"/>
      <c r="K72" s="16"/>
      <c r="L72" s="24">
        <f>SUM(L69:L71)</f>
        <v>6.8992128301148162E-2</v>
      </c>
    </row>
    <row r="73" spans="2:12" ht="15" customHeight="1" outlineLevel="1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2:12" ht="15" customHeight="1" outlineLevel="1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2:12" ht="15" customHeight="1" outlineLevel="1">
      <c r="B75" s="11" t="s">
        <v>18</v>
      </c>
      <c r="C75" s="12"/>
      <c r="D75" s="12"/>
      <c r="E75" s="13"/>
      <c r="F75" s="13"/>
      <c r="G75" s="14"/>
      <c r="H75" s="11" t="s">
        <v>19</v>
      </c>
      <c r="I75" s="12"/>
      <c r="J75" s="12"/>
      <c r="K75" s="12"/>
      <c r="L75" s="15"/>
    </row>
    <row r="76" spans="2:12" ht="15" customHeight="1" outlineLevel="1">
      <c r="B76" s="16"/>
      <c r="C76" s="17"/>
      <c r="D76" s="17"/>
      <c r="E76" s="17"/>
      <c r="F76" s="17"/>
      <c r="G76" s="14"/>
      <c r="H76" s="17"/>
      <c r="I76" s="17"/>
      <c r="J76" s="17"/>
      <c r="K76" s="17"/>
      <c r="L76" s="17"/>
    </row>
    <row r="77" spans="2:12" ht="15" customHeight="1" outlineLevel="1" thickBot="1">
      <c r="B77" s="18"/>
      <c r="C77" s="16"/>
      <c r="D77" s="16"/>
      <c r="E77" s="19" t="s">
        <v>20</v>
      </c>
      <c r="F77" s="19" t="s">
        <v>21</v>
      </c>
      <c r="G77" s="14"/>
      <c r="H77" s="20" t="s">
        <v>22</v>
      </c>
      <c r="I77" s="21"/>
      <c r="J77" s="16"/>
      <c r="K77" s="21"/>
      <c r="L77" s="22">
        <v>2.9899999999999999E-2</v>
      </c>
    </row>
    <row r="78" spans="2:12" ht="15" customHeight="1" outlineLevel="1">
      <c r="B78" s="20" t="s">
        <v>23</v>
      </c>
      <c r="C78" s="21"/>
      <c r="D78" s="23">
        <v>8013</v>
      </c>
      <c r="E78" s="24">
        <f>D78/D80</f>
        <v>0.23823398245874833</v>
      </c>
      <c r="F78" s="22">
        <f>E78</f>
        <v>0.23823398245874833</v>
      </c>
      <c r="G78" s="25"/>
      <c r="H78" s="20" t="s">
        <v>24</v>
      </c>
      <c r="I78" s="16"/>
      <c r="J78" s="16"/>
      <c r="K78" s="16"/>
      <c r="L78" s="26">
        <v>0.17499999999999999</v>
      </c>
    </row>
    <row r="79" spans="2:12" ht="15" customHeight="1" outlineLevel="1">
      <c r="B79" s="20" t="s">
        <v>25</v>
      </c>
      <c r="C79" s="16"/>
      <c r="D79" s="27">
        <v>25622</v>
      </c>
      <c r="E79" s="28">
        <f>D79/D80</f>
        <v>0.76176601754125173</v>
      </c>
      <c r="F79" s="28">
        <f>F80-F78</f>
        <v>0.76176601754125173</v>
      </c>
      <c r="G79" s="25"/>
      <c r="H79" s="20" t="s">
        <v>26</v>
      </c>
      <c r="I79" s="16"/>
      <c r="J79" s="16"/>
      <c r="K79" s="16"/>
      <c r="L79" s="24">
        <f>L77*(1-L78)</f>
        <v>2.4667499999999998E-2</v>
      </c>
    </row>
    <row r="80" spans="2:12" ht="15" customHeight="1" outlineLevel="1">
      <c r="B80" s="20" t="s">
        <v>27</v>
      </c>
      <c r="C80" s="16"/>
      <c r="D80" s="29">
        <f>SUM(D78:D79)</f>
        <v>33635</v>
      </c>
      <c r="E80" s="24">
        <f>SUM(E78:E79)</f>
        <v>1</v>
      </c>
      <c r="F80" s="24">
        <f>E80</f>
        <v>1</v>
      </c>
      <c r="G80" s="25"/>
      <c r="H80" s="16"/>
      <c r="I80" s="16"/>
      <c r="J80" s="16"/>
      <c r="K80" s="16"/>
      <c r="L80" s="16"/>
    </row>
    <row r="81" spans="2:12" ht="15" customHeight="1" outlineLevel="1">
      <c r="B81" s="16"/>
      <c r="C81" s="16"/>
      <c r="D81" s="16"/>
      <c r="E81" s="16"/>
      <c r="F81" s="30"/>
      <c r="G81" s="14"/>
      <c r="H81" s="16"/>
      <c r="I81" s="16"/>
      <c r="J81" s="16"/>
      <c r="K81" s="16"/>
      <c r="L81" s="16"/>
    </row>
    <row r="82" spans="2:12" ht="15" customHeight="1" outlineLevel="1">
      <c r="B82" s="31" t="s">
        <v>28</v>
      </c>
      <c r="C82" s="32"/>
      <c r="D82" s="32"/>
      <c r="E82" s="33">
        <f>E78/E79</f>
        <v>0.31273905237686361</v>
      </c>
      <c r="F82" s="33">
        <f>F78/F79</f>
        <v>0.31273905237686361</v>
      </c>
      <c r="G82" s="25"/>
      <c r="H82" s="11" t="s">
        <v>29</v>
      </c>
      <c r="I82" s="34"/>
      <c r="J82" s="12"/>
      <c r="K82" s="15"/>
      <c r="L82" s="12"/>
    </row>
    <row r="83" spans="2:12" ht="15" customHeight="1" outlineLevel="1">
      <c r="B83" s="35"/>
      <c r="C83" s="16"/>
      <c r="D83" s="16"/>
      <c r="E83" s="16"/>
      <c r="F83" s="16"/>
      <c r="G83" s="36"/>
      <c r="H83" s="17"/>
      <c r="I83" s="17"/>
      <c r="J83" s="17"/>
      <c r="K83" s="17"/>
      <c r="L83" s="17"/>
    </row>
    <row r="84" spans="2:12" ht="15" customHeight="1" outlineLevel="1" thickBot="1">
      <c r="B84" s="37"/>
      <c r="C84" s="16"/>
      <c r="D84" s="16"/>
      <c r="E84" s="16"/>
      <c r="F84" s="16"/>
      <c r="G84" s="36"/>
      <c r="H84" s="21"/>
      <c r="I84" s="21"/>
      <c r="J84" s="21"/>
      <c r="K84" s="19" t="s">
        <v>30</v>
      </c>
      <c r="L84" s="19" t="s">
        <v>31</v>
      </c>
    </row>
    <row r="85" spans="2:12" ht="15" customHeight="1" outlineLevel="1">
      <c r="B85" s="38" t="s">
        <v>32</v>
      </c>
      <c r="C85" s="21"/>
      <c r="D85" s="39"/>
      <c r="E85" s="39"/>
      <c r="F85" s="39"/>
      <c r="G85" s="16"/>
      <c r="H85" s="20" t="s">
        <v>33</v>
      </c>
      <c r="I85" s="16"/>
      <c r="J85" s="25"/>
      <c r="K85" s="24">
        <f>F78</f>
        <v>0.23823398245874833</v>
      </c>
      <c r="L85" s="24">
        <f>L79</f>
        <v>2.4667499999999998E-2</v>
      </c>
    </row>
    <row r="86" spans="2:12" ht="15" customHeight="1" outlineLevel="1">
      <c r="B86" s="40" t="s">
        <v>34</v>
      </c>
      <c r="C86" s="21"/>
      <c r="D86" s="39"/>
      <c r="E86" s="39"/>
      <c r="F86" s="39"/>
      <c r="G86" s="16"/>
      <c r="H86" s="20" t="s">
        <v>35</v>
      </c>
      <c r="I86" s="16"/>
      <c r="J86" s="25"/>
      <c r="K86" s="24">
        <f t="shared" ref="K86" si="1">F79</f>
        <v>0.76176601754125173</v>
      </c>
      <c r="L86" s="24">
        <f>L72</f>
        <v>6.8992128301148162E-2</v>
      </c>
    </row>
    <row r="87" spans="2:12" ht="15" customHeight="1" outlineLevel="1">
      <c r="B87" s="41" t="s">
        <v>36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2:12" ht="15" customHeight="1" outlineLevel="1">
      <c r="B88" s="42" t="s">
        <v>37</v>
      </c>
      <c r="C88" s="16"/>
      <c r="D88" s="16"/>
      <c r="E88" s="16"/>
      <c r="F88" s="16"/>
      <c r="G88" s="16"/>
      <c r="H88" s="21"/>
      <c r="I88" s="21"/>
      <c r="J88" s="21"/>
      <c r="K88" s="21"/>
      <c r="L88" s="43"/>
    </row>
    <row r="89" spans="2:12" ht="16.149999999999999" outlineLevel="1" thickBot="1">
      <c r="B89" s="44"/>
      <c r="C89" s="21"/>
      <c r="D89" s="21"/>
      <c r="E89" s="21"/>
      <c r="F89" s="21"/>
      <c r="G89" s="21"/>
      <c r="H89" s="20" t="s">
        <v>29</v>
      </c>
      <c r="I89" s="16"/>
      <c r="J89" s="16"/>
      <c r="K89" s="21"/>
      <c r="L89" s="45">
        <f>K85*L85+K86*L86</f>
        <v>5.8432495579961892E-2</v>
      </c>
    </row>
    <row r="90" spans="2:12" outlineLevel="1"/>
    <row r="92" spans="2:12" ht="20.65">
      <c r="B92" s="56" t="s">
        <v>38</v>
      </c>
      <c r="C92" s="57"/>
      <c r="D92" s="58"/>
      <c r="E92" s="58"/>
      <c r="F92" s="59"/>
      <c r="G92" s="59"/>
      <c r="H92" s="59"/>
      <c r="I92" s="59"/>
      <c r="J92" s="59"/>
      <c r="K92" s="59"/>
      <c r="L92" s="59"/>
    </row>
    <row r="93" spans="2:12" ht="15.75" outlineLevel="1">
      <c r="B93" s="18"/>
      <c r="C93" s="60"/>
      <c r="D93" s="60"/>
      <c r="E93" s="60"/>
      <c r="F93" s="60"/>
      <c r="G93" s="61"/>
      <c r="H93" s="62"/>
      <c r="I93" s="62"/>
      <c r="J93" s="62"/>
      <c r="K93" s="62"/>
      <c r="L93" s="62"/>
    </row>
    <row r="94" spans="2:12" ht="15" outlineLevel="1">
      <c r="B94" s="18" t="s">
        <v>39</v>
      </c>
      <c r="C94" s="36"/>
      <c r="D94" s="36"/>
      <c r="E94" s="36"/>
      <c r="F94" s="30"/>
      <c r="G94" s="30"/>
      <c r="H94" s="30"/>
      <c r="I94" s="63"/>
      <c r="J94" s="63"/>
      <c r="K94" s="63"/>
      <c r="L94" s="63"/>
    </row>
    <row r="95" spans="2:12" ht="15.75" outlineLevel="1">
      <c r="B95" s="16"/>
      <c r="C95" s="36"/>
      <c r="D95" s="36"/>
      <c r="E95" s="36"/>
      <c r="F95" s="30"/>
      <c r="G95" s="64"/>
      <c r="H95" s="64"/>
      <c r="I95" s="65"/>
      <c r="J95" s="65"/>
      <c r="K95" s="65"/>
      <c r="L95" s="65"/>
    </row>
    <row r="96" spans="2:12" ht="15.75" outlineLevel="1">
      <c r="B96" s="16"/>
      <c r="C96" s="36"/>
      <c r="D96" s="36"/>
      <c r="E96" s="36"/>
      <c r="F96" s="30"/>
      <c r="G96" s="64"/>
      <c r="H96" s="64"/>
      <c r="I96" s="65"/>
      <c r="J96" s="65"/>
      <c r="K96" s="65"/>
      <c r="L96" s="65"/>
    </row>
    <row r="97" spans="2:12" ht="15.75" outlineLevel="1">
      <c r="B97" s="66" t="s">
        <v>40</v>
      </c>
      <c r="C97" s="49"/>
      <c r="D97" s="49"/>
      <c r="E97" s="49"/>
      <c r="F97" s="49"/>
      <c r="G97" s="49"/>
      <c r="H97" s="66" t="str">
        <f>CONCATENATE("End of ",G5-1," Balances")</f>
        <v>End of 2025 Balances</v>
      </c>
      <c r="I97" s="16"/>
      <c r="J97" s="16"/>
      <c r="K97" s="16"/>
      <c r="L97" s="16"/>
    </row>
    <row r="98" spans="2:12" ht="15.75" outlineLevel="1">
      <c r="B98" s="67" t="s">
        <v>41</v>
      </c>
      <c r="C98" s="68"/>
      <c r="D98" s="69"/>
      <c r="E98" s="70" t="s">
        <v>42</v>
      </c>
      <c r="F98" s="71">
        <v>46081</v>
      </c>
      <c r="G98" s="49"/>
      <c r="H98" s="68" t="s">
        <v>43</v>
      </c>
      <c r="I98" s="68"/>
      <c r="J98" s="72"/>
      <c r="K98" s="73"/>
      <c r="L98" s="74">
        <f>7007+1006</f>
        <v>8013</v>
      </c>
    </row>
    <row r="99" spans="2:12" ht="15.75" outlineLevel="1">
      <c r="B99" s="75" t="s">
        <v>44</v>
      </c>
      <c r="C99" s="54"/>
      <c r="D99" s="53"/>
      <c r="E99" s="76" t="s">
        <v>42</v>
      </c>
      <c r="F99" s="77">
        <v>46387</v>
      </c>
      <c r="G99" s="49"/>
      <c r="H99" s="49" t="s">
        <v>45</v>
      </c>
      <c r="I99" s="78"/>
      <c r="J99" s="49"/>
      <c r="K99" s="16"/>
      <c r="L99" s="79">
        <v>7525</v>
      </c>
    </row>
    <row r="100" spans="2:12" ht="15.75" outlineLevel="1">
      <c r="B100" s="54" t="s">
        <v>46</v>
      </c>
      <c r="C100" s="53"/>
      <c r="D100" s="53"/>
      <c r="E100" s="76" t="s">
        <v>42</v>
      </c>
      <c r="F100" s="77">
        <v>46387</v>
      </c>
      <c r="G100" s="49"/>
      <c r="H100" s="49" t="s">
        <v>47</v>
      </c>
      <c r="I100" s="78"/>
      <c r="J100" s="78"/>
      <c r="K100" s="16"/>
      <c r="L100" s="79">
        <v>5382</v>
      </c>
    </row>
    <row r="101" spans="2:12" ht="15.75" outlineLevel="1">
      <c r="B101" s="54" t="s">
        <v>48</v>
      </c>
      <c r="C101" s="54"/>
      <c r="D101" s="53"/>
      <c r="E101" s="76" t="s">
        <v>49</v>
      </c>
      <c r="F101" s="404">
        <v>2026</v>
      </c>
      <c r="G101" s="49"/>
      <c r="H101" s="49" t="s">
        <v>50</v>
      </c>
      <c r="I101" s="49"/>
      <c r="J101" s="49"/>
      <c r="K101" s="16"/>
      <c r="L101" s="80">
        <v>663</v>
      </c>
    </row>
    <row r="102" spans="2:12" ht="15.75" outlineLevel="1">
      <c r="B102" s="75" t="s">
        <v>3</v>
      </c>
      <c r="C102" s="53"/>
      <c r="D102" s="53"/>
      <c r="E102" s="53"/>
      <c r="F102" s="81">
        <f>IF(F98&gt;F99,1,0)</f>
        <v>0</v>
      </c>
      <c r="G102" s="82"/>
      <c r="H102" s="16"/>
      <c r="I102" s="16"/>
      <c r="J102" s="16"/>
      <c r="K102" s="16"/>
      <c r="L102" s="16"/>
    </row>
    <row r="103" spans="2:12" ht="15.75" outlineLevel="1">
      <c r="B103" s="75" t="s">
        <v>5</v>
      </c>
      <c r="C103" s="54"/>
      <c r="D103" s="54"/>
      <c r="E103" s="53"/>
      <c r="F103" s="81">
        <f>IF(F99&gt;F100,1,0)</f>
        <v>0</v>
      </c>
      <c r="G103" s="16"/>
      <c r="H103" s="16"/>
      <c r="I103" s="16"/>
      <c r="J103" s="16"/>
      <c r="K103" s="16"/>
      <c r="L103" s="16"/>
    </row>
    <row r="104" spans="2:12" ht="15.75" outlineLevel="1">
      <c r="B104" s="54" t="s">
        <v>51</v>
      </c>
      <c r="C104" s="83"/>
      <c r="D104" s="83"/>
      <c r="E104" s="53"/>
      <c r="F104" s="23">
        <v>365</v>
      </c>
      <c r="G104" s="16"/>
      <c r="H104" s="16"/>
      <c r="I104" s="16"/>
      <c r="J104" s="16"/>
      <c r="K104" s="16"/>
      <c r="L104" s="16"/>
    </row>
    <row r="105" spans="2:12" ht="15.75" outlineLevel="1">
      <c r="B105" s="54"/>
      <c r="C105" s="83"/>
      <c r="D105" s="83"/>
      <c r="E105" s="53"/>
      <c r="F105" s="23"/>
      <c r="G105" s="16"/>
      <c r="H105" s="16"/>
      <c r="I105" s="16"/>
      <c r="J105" s="16"/>
      <c r="K105" s="16"/>
      <c r="L105" s="16"/>
    </row>
    <row r="106" spans="2:12" ht="15.75" outlineLevel="1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2:12" ht="15.75" outlineLevel="1">
      <c r="B107" s="16"/>
      <c r="C107" s="16"/>
      <c r="D107" s="16"/>
      <c r="E107" s="16"/>
      <c r="F107" s="16"/>
      <c r="G107" s="16"/>
    </row>
    <row r="108" spans="2:12" ht="15.75" outlineLevel="1">
      <c r="B108" s="66" t="s">
        <v>52</v>
      </c>
      <c r="C108" s="49"/>
      <c r="D108" s="49"/>
      <c r="E108" s="49"/>
      <c r="F108" s="49"/>
      <c r="G108" s="82"/>
      <c r="H108" s="84" t="s">
        <v>38</v>
      </c>
      <c r="I108" s="85"/>
      <c r="J108" s="85"/>
      <c r="K108" s="85"/>
      <c r="L108" s="85"/>
    </row>
    <row r="109" spans="2:12" ht="15" outlineLevel="1">
      <c r="B109" s="68" t="s">
        <v>53</v>
      </c>
      <c r="C109" s="68"/>
      <c r="D109" s="68"/>
      <c r="E109" s="70" t="s">
        <v>54</v>
      </c>
      <c r="F109" s="74">
        <v>269.89999999999998</v>
      </c>
      <c r="G109" s="82"/>
      <c r="H109" s="54" t="s">
        <v>55</v>
      </c>
      <c r="I109" s="87"/>
      <c r="J109" s="54"/>
      <c r="K109" s="88"/>
      <c r="L109" s="79">
        <v>-250</v>
      </c>
    </row>
    <row r="110" spans="2:12" ht="15" outlineLevel="1">
      <c r="B110" s="89" t="s">
        <v>56</v>
      </c>
      <c r="C110" s="89"/>
      <c r="D110" s="89"/>
      <c r="E110" s="90" t="s">
        <v>57</v>
      </c>
      <c r="F110" s="91">
        <v>357.05</v>
      </c>
      <c r="G110" s="82"/>
      <c r="H110" s="54" t="s">
        <v>58</v>
      </c>
      <c r="I110" s="54"/>
      <c r="J110" s="54"/>
      <c r="K110" s="54"/>
      <c r="L110" s="92">
        <v>0.5</v>
      </c>
    </row>
    <row r="111" spans="2:12" ht="15.75" outlineLevel="1">
      <c r="B111" s="54" t="s">
        <v>59</v>
      </c>
      <c r="C111" s="54"/>
      <c r="D111" s="54"/>
      <c r="E111" s="53"/>
      <c r="F111" s="93">
        <v>0.02</v>
      </c>
      <c r="G111" s="82"/>
      <c r="H111" s="89" t="s">
        <v>60</v>
      </c>
      <c r="I111" s="94"/>
      <c r="J111" s="95"/>
      <c r="K111" s="96"/>
      <c r="L111" s="97">
        <v>0.17499999999999999</v>
      </c>
    </row>
    <row r="112" spans="2:12" ht="16.149999999999999" outlineLevel="1">
      <c r="B112" s="54" t="s">
        <v>61</v>
      </c>
      <c r="C112" s="54"/>
      <c r="D112" s="54"/>
      <c r="E112" s="86"/>
      <c r="F112" s="98">
        <v>16</v>
      </c>
      <c r="G112" s="61"/>
      <c r="H112" s="54" t="s">
        <v>62</v>
      </c>
      <c r="I112" s="54"/>
      <c r="J112" s="54"/>
      <c r="K112" s="54"/>
      <c r="L112" s="92">
        <v>0.5</v>
      </c>
    </row>
    <row r="113" spans="2:12" ht="15.75" outlineLevel="1">
      <c r="B113" s="54" t="s">
        <v>63</v>
      </c>
      <c r="C113" s="54"/>
      <c r="D113" s="54"/>
      <c r="E113" s="53"/>
      <c r="F113" s="99">
        <f>L89</f>
        <v>5.8432495579961892E-2</v>
      </c>
      <c r="G113" s="25"/>
      <c r="H113" s="54" t="s">
        <v>64</v>
      </c>
      <c r="I113" s="54"/>
      <c r="J113" s="54"/>
      <c r="K113" s="86" t="s">
        <v>65</v>
      </c>
      <c r="L113" s="100">
        <v>12</v>
      </c>
    </row>
    <row r="114" spans="2:12" ht="15.75" outlineLevel="1">
      <c r="B114" s="75" t="s">
        <v>66</v>
      </c>
      <c r="C114" s="94"/>
      <c r="D114" s="95"/>
      <c r="E114" s="96"/>
      <c r="F114" s="101">
        <f>IF(F111&gt;F113,1,0)</f>
        <v>0</v>
      </c>
      <c r="G114" s="25"/>
      <c r="H114" s="54" t="s">
        <v>67</v>
      </c>
      <c r="I114" s="54"/>
      <c r="J114" s="54"/>
      <c r="K114" s="86" t="s">
        <v>65</v>
      </c>
      <c r="L114" s="100">
        <v>30</v>
      </c>
    </row>
    <row r="115" spans="2:12" outlineLevel="1"/>
  </sheetData>
  <conditionalFormatting sqref="F102:F103">
    <cfRule type="expression" dxfId="4" priority="2">
      <formula>F102=1</formula>
    </cfRule>
  </conditionalFormatting>
  <conditionalFormatting sqref="F114">
    <cfRule type="expression" dxfId="3" priority="1">
      <formula>$F$144=1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3</xdr:col>
                    <xdr:colOff>0</xdr:colOff>
                    <xdr:row>6</xdr:row>
                    <xdr:rowOff>0</xdr:rowOff>
                  </from>
                  <to>
                    <xdr:col>4</xdr:col>
                    <xdr:colOff>0</xdr:colOff>
                    <xdr:row>7</xdr:row>
                    <xdr:rowOff>23813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8A7F-5F03-4CD3-8738-7586F1C80219}">
  <dimension ref="B1:R401"/>
  <sheetViews>
    <sheetView showGridLines="0" tabSelected="1" zoomScale="62" zoomScaleNormal="62" workbookViewId="0">
      <pane ySplit="1" topLeftCell="A45" activePane="bottomLeft" state="frozen"/>
      <selection pane="bottomLeft" activeCell="M67" sqref="M67"/>
    </sheetView>
  </sheetViews>
  <sheetFormatPr defaultRowHeight="14.25" outlineLevelRow="1"/>
  <cols>
    <col min="2" max="2" width="26.9296875" customWidth="1"/>
    <col min="5" max="5" width="2.46484375" customWidth="1"/>
    <col min="6" max="14" width="11.86328125" customWidth="1"/>
  </cols>
  <sheetData>
    <row r="1" spans="2:14" ht="50" customHeight="1"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2:14" ht="15" customHeight="1"/>
    <row r="3" spans="2:14" ht="15" customHeight="1">
      <c r="B3" s="56" t="s">
        <v>191</v>
      </c>
      <c r="C3" s="57"/>
      <c r="D3" s="58"/>
      <c r="E3" s="58"/>
      <c r="F3" s="59"/>
      <c r="G3" s="59"/>
      <c r="H3" s="59"/>
      <c r="I3" s="59"/>
      <c r="J3" s="59"/>
      <c r="K3" s="59"/>
      <c r="L3" s="59"/>
      <c r="M3" s="59"/>
      <c r="N3" s="102"/>
    </row>
    <row r="4" spans="2:14" ht="15" customHeight="1" outlineLevel="1"/>
    <row r="5" spans="2:14" ht="15" customHeight="1" outlineLevel="1" thickBot="1">
      <c r="F5" s="105">
        <v>2023</v>
      </c>
      <c r="G5" s="105">
        <f>F5+1</f>
        <v>2024</v>
      </c>
      <c r="H5" s="105">
        <f t="shared" ref="H5" si="0">G5+1</f>
        <v>2025</v>
      </c>
      <c r="I5" s="106">
        <f t="shared" ref="I5" si="1">H5+1</f>
        <v>2026</v>
      </c>
      <c r="J5" s="106">
        <f t="shared" ref="J5" si="2">I5+1</f>
        <v>2027</v>
      </c>
      <c r="K5" s="106">
        <f t="shared" ref="K5" si="3">J5+1</f>
        <v>2028</v>
      </c>
      <c r="L5" s="106">
        <f t="shared" ref="L5" si="4">K5+1</f>
        <v>2029</v>
      </c>
      <c r="M5" s="106">
        <f t="shared" ref="M5" si="5">L5+1</f>
        <v>2030</v>
      </c>
      <c r="N5" s="106" t="s">
        <v>10</v>
      </c>
    </row>
    <row r="6" spans="2:14" ht="15" customHeight="1" outlineLevel="1"/>
    <row r="7" spans="2:14" ht="15" customHeight="1" outlineLevel="1">
      <c r="B7" s="37" t="s">
        <v>197</v>
      </c>
      <c r="G7" s="64">
        <f>G9/F9-1</f>
        <v>0.30483702586706873</v>
      </c>
      <c r="H7" s="64">
        <f>H9/G9-1</f>
        <v>0.16543692772690899</v>
      </c>
      <c r="I7" s="377">
        <f>Inputs!G10</f>
        <v>3.6999999999999998E-2</v>
      </c>
      <c r="J7" s="377">
        <f>Inputs!H10</f>
        <v>0.04</v>
      </c>
      <c r="K7" s="377">
        <f>Inputs!I10</f>
        <v>0.04</v>
      </c>
      <c r="L7" s="377">
        <f>Inputs!J10</f>
        <v>0.04</v>
      </c>
      <c r="M7" s="377">
        <f>Inputs!K10</f>
        <v>0.04</v>
      </c>
      <c r="N7" s="378">
        <f>Inputs!L10</f>
        <v>0.04</v>
      </c>
    </row>
    <row r="8" spans="2:14" ht="15" customHeight="1" outlineLevel="1">
      <c r="N8" s="373"/>
    </row>
    <row r="9" spans="2:14" ht="15" customHeight="1" outlineLevel="1">
      <c r="B9" s="371" t="s">
        <v>192</v>
      </c>
      <c r="F9" s="140">
        <v>8621</v>
      </c>
      <c r="G9" s="140">
        <v>11249</v>
      </c>
      <c r="H9" s="140">
        <v>13110</v>
      </c>
      <c r="I9" s="161">
        <f>H9*(1+I7)</f>
        <v>13595.07</v>
      </c>
      <c r="J9" s="112">
        <f>I9*(1+J7)</f>
        <v>14138.872800000001</v>
      </c>
      <c r="K9" s="112">
        <f t="shared" ref="K9:N9" si="6">J9*(1+K7)</f>
        <v>14704.427712000002</v>
      </c>
      <c r="L9" s="112">
        <f t="shared" si="6"/>
        <v>15292.604820480003</v>
      </c>
      <c r="M9" s="112">
        <f t="shared" si="6"/>
        <v>15904.309013299204</v>
      </c>
      <c r="N9" s="379">
        <f t="shared" si="6"/>
        <v>16540.481373831171</v>
      </c>
    </row>
    <row r="10" spans="2:14" ht="15" customHeight="1" outlineLevel="1">
      <c r="F10" s="140"/>
      <c r="G10" s="140"/>
      <c r="H10" s="140"/>
      <c r="N10" s="373"/>
    </row>
    <row r="11" spans="2:14" ht="15" customHeight="1" outlineLevel="1">
      <c r="B11" s="37" t="s">
        <v>198</v>
      </c>
      <c r="F11" s="140"/>
      <c r="G11" s="64">
        <f>G13/F13-1</f>
        <v>0.15103121739828262</v>
      </c>
      <c r="H11" s="64">
        <f>H13/G13-1</f>
        <v>0.16593460224499745</v>
      </c>
      <c r="I11" s="377">
        <f>Inputs!G16</f>
        <v>4.5999999999999999E-2</v>
      </c>
      <c r="J11" s="377">
        <f>Inputs!H16</f>
        <v>0.05</v>
      </c>
      <c r="K11" s="377">
        <f>Inputs!I16</f>
        <v>0.05</v>
      </c>
      <c r="L11" s="377">
        <f>Inputs!J16</f>
        <v>0.05</v>
      </c>
      <c r="M11" s="377">
        <f>Inputs!K16</f>
        <v>0.05</v>
      </c>
      <c r="N11" s="380">
        <f>Inputs!L16</f>
        <v>0.05</v>
      </c>
    </row>
    <row r="12" spans="2:14" ht="15" customHeight="1" outlineLevel="1">
      <c r="F12" s="140"/>
      <c r="G12" s="140"/>
      <c r="H12" s="140"/>
      <c r="N12" s="373"/>
    </row>
    <row r="13" spans="2:14" ht="15" customHeight="1" outlineLevel="1">
      <c r="B13" s="371" t="s">
        <v>193</v>
      </c>
      <c r="F13" s="140">
        <v>12461</v>
      </c>
      <c r="G13" s="140">
        <v>14343</v>
      </c>
      <c r="H13" s="140">
        <v>16723</v>
      </c>
      <c r="I13" s="161">
        <f>H13*(1+I11)</f>
        <v>17492.258000000002</v>
      </c>
      <c r="J13" s="112">
        <f>I13*(1+J11)</f>
        <v>18366.870900000002</v>
      </c>
      <c r="K13" s="112">
        <f t="shared" ref="K13:N13" si="7">J13*(1+K11)</f>
        <v>19285.214445000001</v>
      </c>
      <c r="L13" s="112">
        <f t="shared" si="7"/>
        <v>20249.475167250002</v>
      </c>
      <c r="M13" s="112">
        <f t="shared" si="7"/>
        <v>21261.948925612502</v>
      </c>
      <c r="N13" s="379">
        <f t="shared" si="7"/>
        <v>22325.046371893128</v>
      </c>
    </row>
    <row r="14" spans="2:14" ht="15" customHeight="1" outlineLevel="1">
      <c r="F14" s="140"/>
      <c r="G14" s="140"/>
      <c r="H14" s="140"/>
      <c r="N14" s="373"/>
    </row>
    <row r="15" spans="2:14" ht="15" customHeight="1" outlineLevel="1">
      <c r="B15" s="37" t="s">
        <v>199</v>
      </c>
      <c r="F15" s="140"/>
      <c r="G15" s="64">
        <f>G17/F17-1</f>
        <v>8.8171262699564545E-2</v>
      </c>
      <c r="H15" s="64">
        <f>H17/G17-1</f>
        <v>2.7675891963987898E-2</v>
      </c>
      <c r="I15" s="377">
        <f>Inputs!G22</f>
        <v>4.9000000000000002E-2</v>
      </c>
      <c r="J15" s="377">
        <f>Inputs!H22</f>
        <v>0.05</v>
      </c>
      <c r="K15" s="377">
        <f>Inputs!I22</f>
        <v>0.05</v>
      </c>
      <c r="L15" s="377">
        <f>Inputs!J22</f>
        <v>0.05</v>
      </c>
      <c r="M15" s="377">
        <f>Inputs!K22</f>
        <v>0.05</v>
      </c>
      <c r="N15" s="380">
        <f>Inputs!L22</f>
        <v>0.05</v>
      </c>
    </row>
    <row r="16" spans="2:14" ht="15" customHeight="1" outlineLevel="1">
      <c r="F16" s="140"/>
      <c r="G16" s="140"/>
      <c r="H16" s="140"/>
      <c r="N16" s="373"/>
    </row>
    <row r="17" spans="2:14" ht="15" customHeight="1" outlineLevel="1">
      <c r="B17" s="371" t="s">
        <v>194</v>
      </c>
      <c r="F17" s="140">
        <v>8268</v>
      </c>
      <c r="G17" s="140">
        <v>8997</v>
      </c>
      <c r="H17" s="140">
        <v>9246</v>
      </c>
      <c r="I17" s="161">
        <f>H17*(1+I15)</f>
        <v>9699.0540000000001</v>
      </c>
      <c r="J17" s="112">
        <f>I17*(1+J15)</f>
        <v>10184.0067</v>
      </c>
      <c r="K17" s="112">
        <f t="shared" ref="K17:N17" si="8">J17*(1+K15)</f>
        <v>10693.207034999999</v>
      </c>
      <c r="L17" s="112">
        <f t="shared" si="8"/>
        <v>11227.86738675</v>
      </c>
      <c r="M17" s="112">
        <f t="shared" si="8"/>
        <v>11789.2607560875</v>
      </c>
      <c r="N17" s="379">
        <f t="shared" si="8"/>
        <v>12378.723793891875</v>
      </c>
    </row>
    <row r="18" spans="2:14" ht="15" customHeight="1" outlineLevel="1">
      <c r="F18" s="140"/>
      <c r="G18" s="140"/>
      <c r="H18" s="140"/>
      <c r="N18" s="373"/>
    </row>
    <row r="19" spans="2:14" ht="15" customHeight="1" outlineLevel="1">
      <c r="B19" s="37" t="s">
        <v>200</v>
      </c>
      <c r="F19" s="140"/>
      <c r="G19" s="64">
        <f>G21/F21-1</f>
        <v>1.5864417272867914E-2</v>
      </c>
      <c r="H19" s="64">
        <f t="shared" ref="H19" si="9">H21/G21-1</f>
        <v>2.620553058581554E-2</v>
      </c>
      <c r="I19" s="377">
        <f>Inputs!G28</f>
        <v>2.4E-2</v>
      </c>
      <c r="J19" s="377">
        <f>Inputs!H28</f>
        <v>0.02</v>
      </c>
      <c r="K19" s="377">
        <f>Inputs!I28</f>
        <v>0.02</v>
      </c>
      <c r="L19" s="377">
        <f>Inputs!J28</f>
        <v>0.02</v>
      </c>
      <c r="M19" s="377">
        <f>Inputs!K28</f>
        <v>0.02</v>
      </c>
      <c r="N19" s="380">
        <f>Inputs!L28</f>
        <v>0.02</v>
      </c>
    </row>
    <row r="20" spans="2:14" ht="15" customHeight="1" outlineLevel="1">
      <c r="F20" s="140"/>
      <c r="G20" s="140"/>
      <c r="H20" s="140"/>
      <c r="N20" s="373"/>
    </row>
    <row r="21" spans="2:14" ht="15" customHeight="1" outlineLevel="1">
      <c r="B21" s="371" t="s">
        <v>195</v>
      </c>
      <c r="F21" s="140">
        <v>12922</v>
      </c>
      <c r="G21" s="140">
        <v>13127</v>
      </c>
      <c r="H21" s="140">
        <v>13471</v>
      </c>
      <c r="I21" s="161">
        <f>H21*(1+I19)</f>
        <v>13794.304</v>
      </c>
      <c r="J21" s="112">
        <f>I21*(1+J19)</f>
        <v>14070.19008</v>
      </c>
      <c r="K21" s="112">
        <f t="shared" ref="K21:N21" si="10">J21*(1+K19)</f>
        <v>14351.5938816</v>
      </c>
      <c r="L21" s="112">
        <f t="shared" si="10"/>
        <v>14638.625759232</v>
      </c>
      <c r="M21" s="112">
        <f t="shared" si="10"/>
        <v>14931.398274416641</v>
      </c>
      <c r="N21" s="379">
        <f t="shared" si="10"/>
        <v>15230.026239904973</v>
      </c>
    </row>
    <row r="22" spans="2:14" ht="15" customHeight="1" outlineLevel="1">
      <c r="N22" s="373"/>
    </row>
    <row r="23" spans="2:14" ht="15" customHeight="1" outlineLevel="1">
      <c r="N23" s="373"/>
    </row>
    <row r="24" spans="2:14" ht="15" customHeight="1" outlineLevel="1">
      <c r="B24" s="372" t="s">
        <v>196</v>
      </c>
      <c r="F24" s="370">
        <f>F9+F13+F17+F21</f>
        <v>42272</v>
      </c>
      <c r="G24" s="370">
        <f t="shared" ref="G24:N24" si="11">G9+G13+G17+G21</f>
        <v>47716</v>
      </c>
      <c r="H24" s="370">
        <f t="shared" si="11"/>
        <v>52550</v>
      </c>
      <c r="I24" s="370">
        <f t="shared" si="11"/>
        <v>54580.686000000002</v>
      </c>
      <c r="J24" s="370">
        <f t="shared" si="11"/>
        <v>56759.940480000005</v>
      </c>
      <c r="K24" s="370">
        <f t="shared" si="11"/>
        <v>59034.443073599999</v>
      </c>
      <c r="L24" s="370">
        <f t="shared" si="11"/>
        <v>61408.573133712009</v>
      </c>
      <c r="M24" s="370">
        <f t="shared" si="11"/>
        <v>63886.916969415848</v>
      </c>
      <c r="N24" s="381">
        <f t="shared" si="11"/>
        <v>66474.277779521144</v>
      </c>
    </row>
    <row r="25" spans="2:14" ht="15" customHeight="1" outlineLevel="1"/>
    <row r="26" spans="2:14" ht="15" customHeight="1">
      <c r="B26" s="37"/>
      <c r="C26" s="36"/>
      <c r="D26" s="116"/>
      <c r="E26" s="30"/>
      <c r="F26" s="118"/>
      <c r="G26" s="118"/>
      <c r="H26" s="118"/>
      <c r="I26" s="132"/>
      <c r="J26" s="132"/>
      <c r="K26" s="132"/>
      <c r="L26" s="132"/>
      <c r="M26" s="132"/>
      <c r="N26" s="132"/>
    </row>
    <row r="27" spans="2:14" ht="15" customHeight="1">
      <c r="B27" s="56" t="s">
        <v>70</v>
      </c>
      <c r="C27" s="57"/>
      <c r="D27" s="58"/>
      <c r="E27" s="58"/>
      <c r="F27" s="59"/>
      <c r="G27" s="59"/>
      <c r="H27" s="59"/>
      <c r="I27" s="59"/>
      <c r="J27" s="59"/>
      <c r="K27" s="59"/>
      <c r="L27" s="59"/>
      <c r="M27" s="59"/>
      <c r="N27" s="102"/>
    </row>
    <row r="28" spans="2:14" ht="15" customHeight="1" outlineLevel="1">
      <c r="B28" s="126"/>
      <c r="C28" s="36"/>
      <c r="D28" s="103"/>
      <c r="E28" s="103"/>
      <c r="F28" s="104"/>
      <c r="G28" s="104"/>
      <c r="H28" s="104"/>
      <c r="I28" s="104"/>
      <c r="J28" s="104"/>
      <c r="K28" s="104"/>
      <c r="L28" s="104"/>
      <c r="M28" s="104"/>
      <c r="N28" s="104"/>
    </row>
    <row r="29" spans="2:14" ht="15" customHeight="1" outlineLevel="1" thickBot="1">
      <c r="B29" s="18" t="s">
        <v>39</v>
      </c>
      <c r="C29" s="36"/>
      <c r="D29" s="30"/>
      <c r="E29" s="30"/>
      <c r="F29" s="105">
        <v>2023</v>
      </c>
      <c r="G29" s="105">
        <f>F29+1</f>
        <v>2024</v>
      </c>
      <c r="H29" s="105">
        <f t="shared" ref="H29:M29" si="12">G29+1</f>
        <v>2025</v>
      </c>
      <c r="I29" s="106">
        <f t="shared" si="12"/>
        <v>2026</v>
      </c>
      <c r="J29" s="106">
        <f t="shared" si="12"/>
        <v>2027</v>
      </c>
      <c r="K29" s="106">
        <f t="shared" si="12"/>
        <v>2028</v>
      </c>
      <c r="L29" s="106">
        <f t="shared" si="12"/>
        <v>2029</v>
      </c>
      <c r="M29" s="106">
        <f t="shared" si="12"/>
        <v>2030</v>
      </c>
      <c r="N29" s="106" t="s">
        <v>10</v>
      </c>
    </row>
    <row r="30" spans="2:14" ht="15" customHeight="1" outlineLevel="1">
      <c r="B30" s="18"/>
      <c r="C30" s="36"/>
      <c r="D30" s="30"/>
      <c r="E30" s="30"/>
      <c r="F30" s="30"/>
      <c r="G30" s="30"/>
      <c r="H30" s="30"/>
      <c r="I30" s="63"/>
      <c r="J30" s="63"/>
      <c r="K30" s="63"/>
      <c r="L30" s="63"/>
      <c r="M30" s="63"/>
      <c r="N30" s="63"/>
    </row>
    <row r="31" spans="2:14" ht="15" customHeight="1" outlineLevel="1">
      <c r="B31" s="18"/>
      <c r="C31" s="36"/>
      <c r="D31" s="30"/>
      <c r="E31" s="30"/>
      <c r="F31" s="30"/>
      <c r="G31" s="30"/>
      <c r="H31" s="30"/>
      <c r="I31" s="113"/>
      <c r="J31" s="113"/>
      <c r="K31" s="113"/>
      <c r="L31" s="113"/>
      <c r="M31" s="113"/>
      <c r="N31" s="113"/>
    </row>
    <row r="32" spans="2:14" ht="15" customHeight="1" outlineLevel="1">
      <c r="B32" s="37" t="s">
        <v>69</v>
      </c>
      <c r="C32" s="36"/>
      <c r="D32" s="30"/>
      <c r="E32" s="30"/>
      <c r="F32" s="405">
        <v>4.1000000000000002E-2</v>
      </c>
      <c r="G32" s="406">
        <v>2.9000000000000001E-2</v>
      </c>
      <c r="H32" s="406">
        <v>2.7E-2</v>
      </c>
      <c r="I32" s="135">
        <f>Inputs!G42</f>
        <v>3.2000000000000001E-2</v>
      </c>
      <c r="J32" s="135">
        <f>Inputs!H42</f>
        <v>2.4E-2</v>
      </c>
      <c r="K32" s="135">
        <f>Inputs!I42</f>
        <v>0.03</v>
      </c>
      <c r="L32" s="135">
        <f>Inputs!J42</f>
        <v>0.03</v>
      </c>
      <c r="M32" s="135">
        <f>Inputs!K42</f>
        <v>0.03</v>
      </c>
      <c r="N32" s="136">
        <f>Inputs!L42</f>
        <v>0.03</v>
      </c>
    </row>
    <row r="33" spans="2:18" ht="15" customHeight="1" outlineLevel="1">
      <c r="B33" s="37"/>
      <c r="C33" s="36"/>
      <c r="D33" s="30"/>
      <c r="E33" s="30"/>
      <c r="F33" s="128"/>
      <c r="G33" s="128"/>
      <c r="H33" s="128"/>
      <c r="I33" s="128"/>
      <c r="J33" s="128"/>
      <c r="K33" s="128"/>
      <c r="L33" s="128"/>
      <c r="M33" s="128"/>
      <c r="N33" s="128"/>
    </row>
    <row r="34" spans="2:18" ht="15" customHeight="1" outlineLevel="1">
      <c r="B34" s="137" t="s">
        <v>71</v>
      </c>
      <c r="C34" s="138">
        <f>Inputs!L109</f>
        <v>-250</v>
      </c>
      <c r="D34" s="30"/>
      <c r="E34" s="30"/>
      <c r="F34" s="30"/>
      <c r="G34" s="30"/>
      <c r="H34" s="30"/>
      <c r="I34" s="113"/>
      <c r="J34" s="113"/>
      <c r="K34" s="113"/>
      <c r="L34" s="113"/>
      <c r="M34" s="113"/>
      <c r="N34" s="113"/>
    </row>
    <row r="35" spans="2:18" ht="15" customHeight="1" outlineLevel="1">
      <c r="B35" s="110" t="s">
        <v>24</v>
      </c>
      <c r="C35" s="139">
        <f>Inputs!L78</f>
        <v>0.17499999999999999</v>
      </c>
      <c r="D35" s="113"/>
      <c r="E35" s="30"/>
      <c r="F35" s="30"/>
      <c r="G35" s="30"/>
      <c r="H35" s="30"/>
      <c r="I35" s="63"/>
      <c r="J35" s="63"/>
      <c r="K35" s="63"/>
      <c r="L35" s="63"/>
      <c r="M35" s="63"/>
      <c r="N35" s="113"/>
    </row>
    <row r="36" spans="2:18" ht="15" customHeight="1" outlineLevel="1">
      <c r="B36" s="54"/>
      <c r="C36" s="36"/>
      <c r="D36" s="30"/>
      <c r="E36" s="30"/>
      <c r="F36" s="30"/>
      <c r="G36" s="30"/>
      <c r="H36" s="30"/>
      <c r="I36" s="113"/>
      <c r="J36" s="113"/>
      <c r="K36" s="113"/>
      <c r="L36" s="113"/>
      <c r="M36" s="113"/>
      <c r="N36" s="113"/>
    </row>
    <row r="37" spans="2:18" ht="15" customHeight="1" outlineLevel="1">
      <c r="B37" s="20" t="s">
        <v>68</v>
      </c>
      <c r="C37" s="44"/>
      <c r="D37" s="30"/>
      <c r="E37" s="44"/>
      <c r="F37" s="370">
        <f>F24</f>
        <v>42272</v>
      </c>
      <c r="G37" s="370">
        <f t="shared" ref="G37:H37" si="13">G24</f>
        <v>47716</v>
      </c>
      <c r="H37" s="370">
        <f t="shared" si="13"/>
        <v>52550</v>
      </c>
      <c r="I37" s="141">
        <f>I24</f>
        <v>54580.686000000002</v>
      </c>
      <c r="J37" s="141">
        <f t="shared" ref="J37:N37" si="14">J24</f>
        <v>56759.940480000005</v>
      </c>
      <c r="K37" s="141">
        <f t="shared" si="14"/>
        <v>59034.443073599999</v>
      </c>
      <c r="L37" s="141">
        <f t="shared" si="14"/>
        <v>61408.573133712009</v>
      </c>
      <c r="M37" s="141">
        <f t="shared" si="14"/>
        <v>63886.916969415848</v>
      </c>
      <c r="N37" s="142">
        <f t="shared" si="14"/>
        <v>66474.277779521144</v>
      </c>
      <c r="P37" s="382"/>
      <c r="Q37" s="382"/>
      <c r="R37" s="382"/>
    </row>
    <row r="38" spans="2:18" ht="15" customHeight="1" outlineLevel="1">
      <c r="B38" s="20" t="s">
        <v>72</v>
      </c>
      <c r="C38" s="44"/>
      <c r="D38" s="44"/>
      <c r="E38" s="44"/>
      <c r="F38" s="143">
        <f>-20591-15009-F48-F47</f>
        <v>-34737</v>
      </c>
      <c r="G38" s="143">
        <f>-24332-16020-G48-G47</f>
        <v>-39466</v>
      </c>
      <c r="H38" s="143">
        <f>-27965-16634-H48-H47</f>
        <v>-43675</v>
      </c>
      <c r="I38" s="144">
        <f>I37*-0.83</f>
        <v>-45301.969380000002</v>
      </c>
      <c r="J38" s="144">
        <f t="shared" ref="J38:N38" si="15">J37*-0.83</f>
        <v>-47110.750598400002</v>
      </c>
      <c r="K38" s="144">
        <f t="shared" si="15"/>
        <v>-48998.587751087995</v>
      </c>
      <c r="L38" s="144">
        <f t="shared" si="15"/>
        <v>-50969.115700980961</v>
      </c>
      <c r="M38" s="144">
        <f t="shared" si="15"/>
        <v>-53026.141084615148</v>
      </c>
      <c r="N38" s="145">
        <f t="shared" si="15"/>
        <v>-55173.650557002547</v>
      </c>
    </row>
    <row r="39" spans="2:18" ht="15" customHeight="1" outlineLevel="1">
      <c r="B39" s="146" t="s">
        <v>73</v>
      </c>
      <c r="C39" s="147"/>
      <c r="D39" s="44"/>
      <c r="E39" s="44"/>
      <c r="F39" s="148">
        <f>SUM(F37:F38)</f>
        <v>7535</v>
      </c>
      <c r="G39" s="148">
        <f>SUM(G37:G38)</f>
        <v>8250</v>
      </c>
      <c r="H39" s="148">
        <f>SUM(H37:H38)</f>
        <v>8875</v>
      </c>
      <c r="I39" s="148">
        <f t="shared" ref="I39:N39" si="16">SUM(I37:I38)</f>
        <v>9278.7166199999992</v>
      </c>
      <c r="J39" s="148">
        <f t="shared" si="16"/>
        <v>9649.189881600003</v>
      </c>
      <c r="K39" s="148">
        <f t="shared" si="16"/>
        <v>10035.855322512005</v>
      </c>
      <c r="L39" s="148">
        <f t="shared" si="16"/>
        <v>10439.457432731047</v>
      </c>
      <c r="M39" s="148">
        <f t="shared" si="16"/>
        <v>10860.7758848007</v>
      </c>
      <c r="N39" s="149">
        <f t="shared" si="16"/>
        <v>11300.627222518597</v>
      </c>
    </row>
    <row r="40" spans="2:18" ht="15" customHeight="1" outlineLevel="1">
      <c r="B40" s="146"/>
      <c r="C40" s="147"/>
      <c r="D40" s="44"/>
      <c r="E40" s="44"/>
      <c r="F40" s="150"/>
      <c r="G40" s="150"/>
      <c r="H40" s="150"/>
      <c r="I40" s="148"/>
      <c r="J40" s="148"/>
      <c r="K40" s="148"/>
      <c r="L40" s="148"/>
      <c r="M40" s="148"/>
      <c r="N40" s="149"/>
    </row>
    <row r="41" spans="2:18" ht="15" customHeight="1" outlineLevel="1">
      <c r="B41" s="20"/>
      <c r="C41" s="44"/>
      <c r="D41" s="44"/>
      <c r="E41" s="44"/>
      <c r="F41" s="151"/>
      <c r="G41" s="151"/>
      <c r="H41" s="151"/>
      <c r="I41" s="150"/>
      <c r="J41" s="150"/>
      <c r="K41" s="150"/>
      <c r="L41" s="150"/>
      <c r="M41" s="152"/>
      <c r="N41" s="153"/>
    </row>
    <row r="42" spans="2:18" ht="15" customHeight="1" outlineLevel="1">
      <c r="B42" s="20" t="s">
        <v>74</v>
      </c>
      <c r="C42" s="44"/>
      <c r="D42" s="140"/>
      <c r="E42" s="44"/>
      <c r="F42" s="140">
        <v>-2427</v>
      </c>
      <c r="G42" s="140">
        <v>-2568</v>
      </c>
      <c r="H42" s="140">
        <v>-2595</v>
      </c>
      <c r="I42" s="141">
        <f>H42*(1+I32)</f>
        <v>-2678.04</v>
      </c>
      <c r="J42" s="141">
        <f t="shared" ref="J42:N42" si="17">I42*(1+J32)</f>
        <v>-2742.3129600000002</v>
      </c>
      <c r="K42" s="141">
        <f t="shared" si="17"/>
        <v>-2824.5823488000001</v>
      </c>
      <c r="L42" s="141">
        <f t="shared" si="17"/>
        <v>-2909.3198192640002</v>
      </c>
      <c r="M42" s="141">
        <f t="shared" si="17"/>
        <v>-2996.5994138419205</v>
      </c>
      <c r="N42" s="154">
        <f t="shared" si="17"/>
        <v>-3086.497396257178</v>
      </c>
    </row>
    <row r="43" spans="2:18" ht="15" customHeight="1" outlineLevel="1">
      <c r="B43" s="20" t="s">
        <v>75</v>
      </c>
      <c r="C43" s="44"/>
      <c r="D43" s="44"/>
      <c r="E43" s="44"/>
      <c r="F43" s="143">
        <v>0</v>
      </c>
      <c r="G43" s="143">
        <v>0</v>
      </c>
      <c r="H43" s="143">
        <v>0</v>
      </c>
      <c r="I43" s="144">
        <v>0</v>
      </c>
      <c r="J43" s="144">
        <v>0</v>
      </c>
      <c r="K43" s="144">
        <v>0</v>
      </c>
      <c r="L43" s="144">
        <v>0</v>
      </c>
      <c r="M43" s="144">
        <v>0</v>
      </c>
      <c r="N43" s="145">
        <v>0</v>
      </c>
    </row>
    <row r="44" spans="2:18" ht="15" customHeight="1" outlineLevel="1">
      <c r="B44" s="146" t="s">
        <v>76</v>
      </c>
      <c r="C44" s="147"/>
      <c r="D44" s="44"/>
      <c r="E44" s="44"/>
      <c r="F44" s="148">
        <f>SUM(F39:F43)</f>
        <v>5108</v>
      </c>
      <c r="G44" s="148">
        <f t="shared" ref="G44:N44" si="18">SUM(G39:G43)</f>
        <v>5682</v>
      </c>
      <c r="H44" s="148">
        <f t="shared" si="18"/>
        <v>6280</v>
      </c>
      <c r="I44" s="148">
        <f t="shared" si="18"/>
        <v>6600.6766199999993</v>
      </c>
      <c r="J44" s="148">
        <f t="shared" si="18"/>
        <v>6906.8769216000028</v>
      </c>
      <c r="K44" s="148">
        <f t="shared" si="18"/>
        <v>7211.2729737120044</v>
      </c>
      <c r="L44" s="148">
        <f t="shared" si="18"/>
        <v>7530.1376134670472</v>
      </c>
      <c r="M44" s="148">
        <f t="shared" si="18"/>
        <v>7864.1764709587787</v>
      </c>
      <c r="N44" s="149">
        <f t="shared" si="18"/>
        <v>8214.1298262614182</v>
      </c>
    </row>
    <row r="45" spans="2:18" ht="15" customHeight="1" outlineLevel="1">
      <c r="B45" s="146"/>
      <c r="C45" s="147"/>
      <c r="D45" s="44"/>
      <c r="E45" s="44"/>
      <c r="F45" s="150"/>
      <c r="G45" s="150"/>
      <c r="H45" s="150"/>
      <c r="I45" s="148"/>
      <c r="J45" s="148"/>
      <c r="K45" s="148"/>
      <c r="L45" s="148"/>
      <c r="M45" s="148"/>
      <c r="N45" s="149"/>
    </row>
    <row r="46" spans="2:18" ht="15" customHeight="1" outlineLevel="1">
      <c r="B46" s="20"/>
      <c r="C46" s="44"/>
      <c r="D46" s="44"/>
      <c r="E46" s="44"/>
      <c r="F46" s="148"/>
      <c r="G46" s="148"/>
      <c r="H46" s="148"/>
      <c r="I46" s="148"/>
      <c r="J46" s="148"/>
      <c r="K46" s="148"/>
      <c r="L46" s="148"/>
      <c r="M46" s="148"/>
      <c r="N46" s="149"/>
    </row>
    <row r="47" spans="2:18" ht="15" customHeight="1" outlineLevel="1">
      <c r="B47" s="20" t="s">
        <v>223</v>
      </c>
      <c r="C47" s="44"/>
      <c r="D47" s="44"/>
      <c r="E47" s="44"/>
      <c r="F47" s="140">
        <v>-255</v>
      </c>
      <c r="G47" s="140">
        <v>-242</v>
      </c>
      <c r="H47" s="140">
        <v>-244</v>
      </c>
      <c r="I47" s="161">
        <v>-175</v>
      </c>
      <c r="J47" s="161">
        <v>-169</v>
      </c>
      <c r="K47" s="161">
        <v>-147</v>
      </c>
      <c r="L47" s="161">
        <v>-131</v>
      </c>
      <c r="M47" s="161">
        <v>-121</v>
      </c>
      <c r="N47" s="162">
        <v>-110</v>
      </c>
    </row>
    <row r="48" spans="2:18" ht="15" customHeight="1" outlineLevel="1">
      <c r="B48" s="20" t="s">
        <v>77</v>
      </c>
      <c r="C48" s="44"/>
      <c r="D48" s="44"/>
      <c r="E48" s="44"/>
      <c r="F48" s="143">
        <v>-608</v>
      </c>
      <c r="G48" s="143">
        <v>-644</v>
      </c>
      <c r="H48" s="143">
        <v>-680</v>
      </c>
      <c r="I48" s="144">
        <f>-I135</f>
        <v>-645.27689533333341</v>
      </c>
      <c r="J48" s="144">
        <f t="shared" ref="J48:M48" si="19">-J135</f>
        <v>-682.39043749333337</v>
      </c>
      <c r="K48" s="144">
        <f t="shared" si="19"/>
        <v>-720.98856534453341</v>
      </c>
      <c r="L48" s="144">
        <f t="shared" si="19"/>
        <v>-761.13623741363745</v>
      </c>
      <c r="M48" s="144">
        <f t="shared" si="19"/>
        <v>-802.90140078134664</v>
      </c>
      <c r="N48" s="155">
        <f>-Inputs!L35</f>
        <v>-1329.485555590423</v>
      </c>
    </row>
    <row r="49" spans="2:14" ht="15" customHeight="1" outlineLevel="1">
      <c r="B49" s="146" t="s">
        <v>78</v>
      </c>
      <c r="C49" s="147"/>
      <c r="D49" s="44"/>
      <c r="E49" s="44"/>
      <c r="F49" s="148">
        <f>F44+F48+F47</f>
        <v>4245</v>
      </c>
      <c r="G49" s="148">
        <f>G44+G48+G47</f>
        <v>4796</v>
      </c>
      <c r="H49" s="148">
        <f>H44+H48+H47</f>
        <v>5356</v>
      </c>
      <c r="I49" s="148">
        <f>I44+I48+I47</f>
        <v>5780.3997246666659</v>
      </c>
      <c r="J49" s="148">
        <f t="shared" ref="J49:N49" si="20">J44+J48+J47</f>
        <v>6055.4864841066692</v>
      </c>
      <c r="K49" s="148">
        <f t="shared" si="20"/>
        <v>6343.2844083674709</v>
      </c>
      <c r="L49" s="148">
        <f t="shared" si="20"/>
        <v>6638.0013760534093</v>
      </c>
      <c r="M49" s="148">
        <f t="shared" si="20"/>
        <v>6940.2750701774321</v>
      </c>
      <c r="N49" s="149">
        <f t="shared" si="20"/>
        <v>6774.644270670995</v>
      </c>
    </row>
    <row r="50" spans="2:14" ht="15" customHeight="1" outlineLevel="1">
      <c r="B50" s="146"/>
      <c r="C50" s="147"/>
      <c r="D50" s="44"/>
      <c r="E50" s="44"/>
      <c r="F50" s="148"/>
      <c r="G50" s="148"/>
      <c r="H50" s="148"/>
      <c r="I50" s="148"/>
      <c r="J50" s="148"/>
      <c r="K50" s="148"/>
      <c r="L50" s="148"/>
      <c r="M50" s="148"/>
      <c r="N50" s="149"/>
    </row>
    <row r="51" spans="2:14" ht="15" customHeight="1" outlineLevel="1">
      <c r="B51" s="20" t="s">
        <v>79</v>
      </c>
      <c r="C51" s="44"/>
      <c r="D51" s="44"/>
      <c r="E51" s="44"/>
      <c r="F51" s="143">
        <f>-343+82</f>
        <v>-261</v>
      </c>
      <c r="G51" s="143">
        <f>68-324</f>
        <v>-256</v>
      </c>
      <c r="H51" s="143">
        <f>61-314</f>
        <v>-253</v>
      </c>
      <c r="I51" s="144">
        <f>C34</f>
        <v>-250</v>
      </c>
      <c r="J51" s="144">
        <f>I51</f>
        <v>-250</v>
      </c>
      <c r="K51" s="144">
        <f t="shared" ref="K51:N51" si="21">J51</f>
        <v>-250</v>
      </c>
      <c r="L51" s="144">
        <f t="shared" si="21"/>
        <v>-250</v>
      </c>
      <c r="M51" s="144">
        <f t="shared" si="21"/>
        <v>-250</v>
      </c>
      <c r="N51" s="155">
        <f t="shared" si="21"/>
        <v>-250</v>
      </c>
    </row>
    <row r="52" spans="2:14" ht="15" customHeight="1" outlineLevel="1">
      <c r="B52" s="146" t="s">
        <v>80</v>
      </c>
      <c r="C52" s="147"/>
      <c r="D52" s="44"/>
      <c r="E52" s="44"/>
      <c r="F52" s="148">
        <f>F49+F51</f>
        <v>3984</v>
      </c>
      <c r="G52" s="148">
        <f>G49+G51</f>
        <v>4540</v>
      </c>
      <c r="H52" s="148">
        <f>H49+H51</f>
        <v>5103</v>
      </c>
      <c r="I52" s="148">
        <f t="shared" ref="I52:N52" si="22">I49+I51</f>
        <v>5530.3997246666659</v>
      </c>
      <c r="J52" s="148">
        <f t="shared" si="22"/>
        <v>5805.4864841066692</v>
      </c>
      <c r="K52" s="148">
        <f t="shared" si="22"/>
        <v>6093.2844083674709</v>
      </c>
      <c r="L52" s="148">
        <f t="shared" si="22"/>
        <v>6388.0013760534093</v>
      </c>
      <c r="M52" s="148">
        <f t="shared" si="22"/>
        <v>6690.2750701774321</v>
      </c>
      <c r="N52" s="149">
        <f t="shared" si="22"/>
        <v>6524.644270670995</v>
      </c>
    </row>
    <row r="53" spans="2:14" ht="15" customHeight="1" outlineLevel="1">
      <c r="B53" s="146"/>
      <c r="C53" s="147"/>
      <c r="D53" s="44"/>
      <c r="E53" s="44"/>
      <c r="F53" s="148"/>
      <c r="G53" s="148"/>
      <c r="H53" s="148"/>
      <c r="I53" s="148"/>
      <c r="J53" s="148"/>
      <c r="K53" s="148"/>
      <c r="L53" s="148"/>
      <c r="M53" s="148"/>
      <c r="N53" s="149"/>
    </row>
    <row r="54" spans="2:14" ht="15" customHeight="1" outlineLevel="1">
      <c r="B54" s="20" t="s">
        <v>81</v>
      </c>
      <c r="C54" s="44"/>
      <c r="D54" s="44"/>
      <c r="E54" s="44"/>
      <c r="F54" s="140">
        <v>846</v>
      </c>
      <c r="G54" s="140">
        <v>844</v>
      </c>
      <c r="H54" s="140">
        <v>637</v>
      </c>
      <c r="I54" s="141">
        <f>I204</f>
        <v>783.17932341249991</v>
      </c>
      <c r="J54" s="141">
        <f t="shared" ref="J54:M54" si="23">J204</f>
        <v>951.51064922331295</v>
      </c>
      <c r="K54" s="141">
        <f t="shared" si="23"/>
        <v>1005.3447954895436</v>
      </c>
      <c r="L54" s="141">
        <f t="shared" si="23"/>
        <v>1059.8122043424464</v>
      </c>
      <c r="M54" s="141">
        <f t="shared" si="23"/>
        <v>1115.1224642119168</v>
      </c>
      <c r="N54" s="154">
        <f>N52*C35</f>
        <v>1141.812747367424</v>
      </c>
    </row>
    <row r="55" spans="2:14" ht="15" customHeight="1" outlineLevel="1">
      <c r="B55" s="20" t="s">
        <v>82</v>
      </c>
      <c r="C55" s="44"/>
      <c r="D55" s="44"/>
      <c r="E55" s="44"/>
      <c r="F55" s="143">
        <v>-177</v>
      </c>
      <c r="G55" s="143">
        <v>-86</v>
      </c>
      <c r="H55" s="143">
        <v>256</v>
      </c>
      <c r="I55" s="141">
        <f>I205</f>
        <v>184.64062840416659</v>
      </c>
      <c r="J55" s="144">
        <f t="shared" ref="J55:N55" si="24">J205</f>
        <v>64.449485495354111</v>
      </c>
      <c r="K55" s="144">
        <f t="shared" si="24"/>
        <v>60.979975974763761</v>
      </c>
      <c r="L55" s="144">
        <f t="shared" si="24"/>
        <v>58.088036466900121</v>
      </c>
      <c r="M55" s="144">
        <f t="shared" si="24"/>
        <v>55.675673069133609</v>
      </c>
      <c r="N55" s="156">
        <f t="shared" si="24"/>
        <v>0</v>
      </c>
    </row>
    <row r="56" spans="2:14" ht="15" customHeight="1" outlineLevel="1">
      <c r="B56" s="20" t="s">
        <v>83</v>
      </c>
      <c r="C56" s="44"/>
      <c r="D56" s="44"/>
      <c r="E56" s="44"/>
      <c r="F56" s="157">
        <f>SUM(F54:F55)</f>
        <v>669</v>
      </c>
      <c r="G56" s="157">
        <f t="shared" ref="G56:H56" si="25">SUM(G54:G55)</f>
        <v>758</v>
      </c>
      <c r="H56" s="157">
        <f t="shared" si="25"/>
        <v>893</v>
      </c>
      <c r="I56" s="157">
        <f>SUM(I54:I55)</f>
        <v>967.8199518166665</v>
      </c>
      <c r="J56" s="157">
        <f t="shared" ref="J56:N56" si="26">SUM(J54:J55)</f>
        <v>1015.9601347186671</v>
      </c>
      <c r="K56" s="157">
        <f t="shared" si="26"/>
        <v>1066.3247714643073</v>
      </c>
      <c r="L56" s="157">
        <f t="shared" si="26"/>
        <v>1117.9002408093465</v>
      </c>
      <c r="M56" s="157">
        <f t="shared" si="26"/>
        <v>1170.7981372810505</v>
      </c>
      <c r="N56" s="158">
        <f t="shared" si="26"/>
        <v>1141.812747367424</v>
      </c>
    </row>
    <row r="57" spans="2:14" ht="15" customHeight="1" outlineLevel="1">
      <c r="B57" s="20"/>
      <c r="C57" s="44"/>
      <c r="D57" s="44"/>
      <c r="E57" s="44"/>
      <c r="F57" s="159"/>
      <c r="G57" s="159"/>
      <c r="H57" s="159"/>
      <c r="I57" s="160"/>
      <c r="J57" s="160"/>
      <c r="K57" s="160"/>
      <c r="L57" s="160"/>
      <c r="M57" s="161"/>
      <c r="N57" s="162"/>
    </row>
    <row r="58" spans="2:14" ht="15" customHeight="1" outlineLevel="1" thickBot="1">
      <c r="B58" s="146" t="s">
        <v>84</v>
      </c>
      <c r="C58" s="147"/>
      <c r="D58" s="125"/>
      <c r="E58" s="44"/>
      <c r="F58" s="163">
        <f>F52-F56</f>
        <v>3315</v>
      </c>
      <c r="G58" s="163">
        <f t="shared" ref="G58:H58" si="27">G52-G56</f>
        <v>3782</v>
      </c>
      <c r="H58" s="163">
        <f t="shared" si="27"/>
        <v>4210</v>
      </c>
      <c r="I58" s="163">
        <f>I52-I56</f>
        <v>4562.5797728499992</v>
      </c>
      <c r="J58" s="163">
        <f t="shared" ref="J58:N58" si="28">J52-J56</f>
        <v>4789.526349388002</v>
      </c>
      <c r="K58" s="163">
        <f t="shared" si="28"/>
        <v>5026.9596369031633</v>
      </c>
      <c r="L58" s="163">
        <f t="shared" si="28"/>
        <v>5270.1011352440628</v>
      </c>
      <c r="M58" s="163">
        <f t="shared" si="28"/>
        <v>5519.4769328963812</v>
      </c>
      <c r="N58" s="164">
        <f t="shared" si="28"/>
        <v>5382.831523303571</v>
      </c>
    </row>
    <row r="59" spans="2:14" ht="15" customHeight="1" outlineLevel="1">
      <c r="B59" s="147"/>
      <c r="C59" s="147"/>
      <c r="D59" s="44"/>
      <c r="E59" s="44"/>
      <c r="F59" s="165"/>
      <c r="G59" s="165"/>
      <c r="H59" s="165"/>
      <c r="I59" s="165"/>
      <c r="J59" s="165"/>
      <c r="K59" s="165"/>
      <c r="L59" s="165"/>
      <c r="M59" s="165"/>
      <c r="N59" s="129"/>
    </row>
    <row r="60" spans="2:14" ht="15" customHeight="1" outlineLevel="1">
      <c r="B60" s="166"/>
      <c r="C60" s="166"/>
      <c r="D60" s="131"/>
      <c r="E60" s="131"/>
      <c r="F60" s="167"/>
      <c r="G60" s="167"/>
      <c r="H60" s="167"/>
      <c r="I60" s="167"/>
      <c r="J60" s="167"/>
      <c r="K60" s="167"/>
      <c r="L60" s="167"/>
      <c r="M60" s="167"/>
      <c r="N60" s="167"/>
    </row>
    <row r="61" spans="2:14" ht="15" customHeight="1">
      <c r="B61" s="37"/>
      <c r="C61" s="115"/>
      <c r="D61" s="116"/>
      <c r="E61" s="44"/>
      <c r="F61" s="117"/>
      <c r="G61" s="117"/>
      <c r="H61" s="117"/>
      <c r="I61" s="117"/>
      <c r="J61" s="117"/>
      <c r="K61" s="117"/>
      <c r="L61" s="117"/>
      <c r="M61" s="117"/>
      <c r="N61" s="117"/>
    </row>
    <row r="62" spans="2:14" ht="15" customHeight="1">
      <c r="B62" s="56" t="s">
        <v>85</v>
      </c>
      <c r="C62" s="57"/>
      <c r="D62" s="168"/>
      <c r="E62" s="168"/>
      <c r="F62" s="59"/>
      <c r="G62" s="59"/>
      <c r="H62" s="59"/>
      <c r="I62" s="169"/>
      <c r="J62" s="170"/>
      <c r="K62" s="170"/>
      <c r="L62" s="170"/>
      <c r="M62" s="170"/>
      <c r="N62" s="102"/>
    </row>
    <row r="63" spans="2:14" ht="15" customHeight="1" outlineLevel="1">
      <c r="B63" s="126"/>
      <c r="C63" s="36"/>
      <c r="D63" s="103"/>
      <c r="E63" s="103"/>
      <c r="F63" s="104"/>
      <c r="G63" s="104"/>
      <c r="H63" s="104"/>
      <c r="I63" s="104"/>
      <c r="J63" s="104"/>
      <c r="K63" s="104"/>
      <c r="L63" s="104"/>
      <c r="M63" s="104"/>
      <c r="N63" s="113"/>
    </row>
    <row r="64" spans="2:14" ht="15" customHeight="1" outlineLevel="1" thickBot="1">
      <c r="B64" s="18" t="s">
        <v>39</v>
      </c>
      <c r="C64" s="36"/>
      <c r="D64" s="30"/>
      <c r="E64" s="30"/>
      <c r="F64" s="105">
        <f t="shared" ref="F64:N64" si="29">F29</f>
        <v>2023</v>
      </c>
      <c r="G64" s="105">
        <f t="shared" si="29"/>
        <v>2024</v>
      </c>
      <c r="H64" s="105">
        <f t="shared" si="29"/>
        <v>2025</v>
      </c>
      <c r="I64" s="106">
        <f t="shared" si="29"/>
        <v>2026</v>
      </c>
      <c r="J64" s="106">
        <f t="shared" si="29"/>
        <v>2027</v>
      </c>
      <c r="K64" s="106">
        <f t="shared" si="29"/>
        <v>2028</v>
      </c>
      <c r="L64" s="106">
        <f t="shared" si="29"/>
        <v>2029</v>
      </c>
      <c r="M64" s="106">
        <f t="shared" si="29"/>
        <v>2030</v>
      </c>
      <c r="N64" s="171" t="str">
        <f t="shared" si="29"/>
        <v>Term</v>
      </c>
    </row>
    <row r="65" spans="2:14" ht="15" customHeight="1" outlineLevel="1">
      <c r="B65" s="18"/>
      <c r="C65" s="36"/>
      <c r="D65" s="30"/>
      <c r="E65" s="30"/>
      <c r="F65" s="30"/>
      <c r="G65" s="30"/>
      <c r="H65" s="30"/>
      <c r="I65" s="63"/>
      <c r="J65" s="63"/>
      <c r="K65" s="63"/>
      <c r="L65" s="63"/>
      <c r="M65" s="63"/>
      <c r="N65" s="63"/>
    </row>
    <row r="66" spans="2:14" ht="15" customHeight="1" outlineLevel="1">
      <c r="B66" s="18"/>
      <c r="C66" s="36"/>
      <c r="D66" s="30"/>
      <c r="E66" s="30"/>
      <c r="F66" s="30"/>
      <c r="G66" s="30"/>
      <c r="H66" s="30"/>
      <c r="I66" s="113"/>
      <c r="J66" s="113"/>
      <c r="K66" s="113"/>
      <c r="L66" s="113"/>
      <c r="M66" s="113"/>
      <c r="N66" s="113"/>
    </row>
    <row r="67" spans="2:14" ht="15" customHeight="1" outlineLevel="1">
      <c r="B67" s="20" t="s">
        <v>51</v>
      </c>
      <c r="C67" s="115"/>
      <c r="D67" s="116"/>
      <c r="E67" s="44"/>
      <c r="F67" s="407">
        <v>365</v>
      </c>
      <c r="G67" s="408">
        <v>365</v>
      </c>
      <c r="H67" s="408">
        <v>365</v>
      </c>
      <c r="I67" s="408">
        <v>365</v>
      </c>
      <c r="J67" s="408">
        <v>365</v>
      </c>
      <c r="K67" s="408">
        <v>365</v>
      </c>
      <c r="L67" s="408">
        <v>365</v>
      </c>
      <c r="M67" s="408">
        <v>365</v>
      </c>
      <c r="N67" s="409">
        <v>365</v>
      </c>
    </row>
    <row r="68" spans="2:14" ht="15" customHeight="1" outlineLevel="1">
      <c r="B68" s="20" t="s">
        <v>68</v>
      </c>
      <c r="C68" s="44"/>
      <c r="D68" s="44"/>
      <c r="E68" s="44"/>
      <c r="F68" s="173">
        <f>F37</f>
        <v>42272</v>
      </c>
      <c r="G68" s="112">
        <f t="shared" ref="G68:H68" si="30">G37</f>
        <v>47716</v>
      </c>
      <c r="H68" s="112">
        <f t="shared" si="30"/>
        <v>52550</v>
      </c>
      <c r="I68" s="112">
        <f>I37</f>
        <v>54580.686000000002</v>
      </c>
      <c r="J68" s="112">
        <f t="shared" ref="J68:N68" si="31">J37</f>
        <v>56759.940480000005</v>
      </c>
      <c r="K68" s="112">
        <f t="shared" si="31"/>
        <v>59034.443073599999</v>
      </c>
      <c r="L68" s="112">
        <f t="shared" si="31"/>
        <v>61408.573133712009</v>
      </c>
      <c r="M68" s="112">
        <f t="shared" si="31"/>
        <v>63886.916969415848</v>
      </c>
      <c r="N68" s="174">
        <f t="shared" si="31"/>
        <v>66474.277779521144</v>
      </c>
    </row>
    <row r="69" spans="2:14" ht="15" customHeight="1" outlineLevel="1">
      <c r="B69" s="20" t="s">
        <v>72</v>
      </c>
      <c r="C69" s="44"/>
      <c r="D69" s="44"/>
      <c r="E69" s="44"/>
      <c r="F69" s="175">
        <f>-F38</f>
        <v>34737</v>
      </c>
      <c r="G69" s="120">
        <f t="shared" ref="G69:N69" si="32">-G38</f>
        <v>39466</v>
      </c>
      <c r="H69" s="120">
        <f t="shared" si="32"/>
        <v>43675</v>
      </c>
      <c r="I69" s="120">
        <f t="shared" si="32"/>
        <v>45301.969380000002</v>
      </c>
      <c r="J69" s="120">
        <f t="shared" si="32"/>
        <v>47110.750598400002</v>
      </c>
      <c r="K69" s="120">
        <f t="shared" si="32"/>
        <v>48998.587751087995</v>
      </c>
      <c r="L69" s="120">
        <f t="shared" si="32"/>
        <v>50969.115700980961</v>
      </c>
      <c r="M69" s="120">
        <f t="shared" si="32"/>
        <v>53026.141084615148</v>
      </c>
      <c r="N69" s="111">
        <f t="shared" si="32"/>
        <v>55173.650557002547</v>
      </c>
    </row>
    <row r="70" spans="2:14" ht="15" customHeight="1" outlineLevel="1">
      <c r="B70" s="21"/>
      <c r="C70" s="147"/>
      <c r="D70" s="44"/>
      <c r="E70" s="44"/>
      <c r="F70" s="44"/>
      <c r="G70" s="44"/>
      <c r="H70" s="44"/>
      <c r="I70" s="176"/>
      <c r="J70" s="176"/>
      <c r="K70" s="176"/>
      <c r="L70" s="176"/>
      <c r="M70" s="176"/>
      <c r="N70" s="176"/>
    </row>
    <row r="71" spans="2:14" ht="15" customHeight="1" outlineLevel="1">
      <c r="B71" s="21"/>
      <c r="C71" s="147"/>
      <c r="D71" s="44"/>
      <c r="E71" s="44"/>
      <c r="F71" s="44"/>
      <c r="G71" s="44"/>
      <c r="H71" s="44"/>
      <c r="I71" s="176"/>
      <c r="J71" s="176"/>
      <c r="K71" s="176"/>
      <c r="L71" s="176"/>
      <c r="M71" s="176"/>
      <c r="N71" s="176"/>
    </row>
    <row r="72" spans="2:14" ht="15" customHeight="1" outlineLevel="1">
      <c r="B72" s="35" t="s">
        <v>86</v>
      </c>
      <c r="C72" s="147"/>
      <c r="D72" s="44"/>
      <c r="E72" s="44"/>
      <c r="F72" s="44"/>
      <c r="G72" s="44"/>
      <c r="H72" s="44"/>
      <c r="I72" s="176"/>
      <c r="J72" s="176"/>
      <c r="K72" s="176"/>
      <c r="L72" s="176"/>
      <c r="M72" s="176"/>
      <c r="N72" s="176"/>
    </row>
    <row r="73" spans="2:14" ht="15" customHeight="1" outlineLevel="1">
      <c r="B73" s="177" t="s">
        <v>87</v>
      </c>
      <c r="C73" s="44"/>
      <c r="D73" s="116" t="s">
        <v>88</v>
      </c>
      <c r="E73" s="116"/>
      <c r="F73" s="132">
        <f>(F79/F68)*F$67</f>
        <v>94.988763247539751</v>
      </c>
      <c r="G73" s="132">
        <f t="shared" ref="G73:H73" si="33">(G79/G68)*G$67</f>
        <v>85.864804258529631</v>
      </c>
      <c r="H73" s="132">
        <f t="shared" si="33"/>
        <v>74.91703139866793</v>
      </c>
      <c r="I73" s="178">
        <f>Inputs!G45</f>
        <v>72</v>
      </c>
      <c r="J73" s="178">
        <f>Inputs!H45</f>
        <v>70</v>
      </c>
      <c r="K73" s="178">
        <f>Inputs!I45</f>
        <v>70</v>
      </c>
      <c r="L73" s="178">
        <f>Inputs!J45</f>
        <v>70</v>
      </c>
      <c r="M73" s="179">
        <f>Inputs!K45</f>
        <v>70</v>
      </c>
      <c r="N73" s="180">
        <f>Inputs!L45</f>
        <v>70</v>
      </c>
    </row>
    <row r="74" spans="2:14" ht="15" customHeight="1" outlineLevel="1">
      <c r="B74" s="177" t="s">
        <v>89</v>
      </c>
      <c r="C74" s="44"/>
      <c r="D74" s="116" t="s">
        <v>88</v>
      </c>
      <c r="E74" s="116"/>
      <c r="F74" s="132">
        <f>(F80/F69)*F$67</f>
        <v>90.133575150415993</v>
      </c>
      <c r="G74" s="132">
        <f t="shared" ref="G74:H74" si="34">(G80/G69)*G$67</f>
        <v>89.932093447524451</v>
      </c>
      <c r="H74" s="132">
        <f t="shared" si="34"/>
        <v>77.153520320549518</v>
      </c>
      <c r="I74" s="178">
        <f>Inputs!G46</f>
        <v>75</v>
      </c>
      <c r="J74" s="178">
        <f>Inputs!H46</f>
        <v>72</v>
      </c>
      <c r="K74" s="178">
        <f>Inputs!I46</f>
        <v>72</v>
      </c>
      <c r="L74" s="178">
        <f>Inputs!J46</f>
        <v>72</v>
      </c>
      <c r="M74" s="181">
        <f>Inputs!K46</f>
        <v>72</v>
      </c>
      <c r="N74" s="182">
        <f>Inputs!L46</f>
        <v>72</v>
      </c>
    </row>
    <row r="75" spans="2:14" ht="15" customHeight="1" outlineLevel="1">
      <c r="B75" s="177" t="s">
        <v>90</v>
      </c>
      <c r="C75" s="44"/>
      <c r="D75" s="116" t="s">
        <v>88</v>
      </c>
      <c r="E75" s="116"/>
      <c r="F75" s="132">
        <f>(F81/F69)*F$67</f>
        <v>32.520799147882663</v>
      </c>
      <c r="G75" s="132">
        <f t="shared" ref="G75:H75" si="35">(G81/G69)*G$67</f>
        <v>30.926873764759542</v>
      </c>
      <c r="H75" s="132">
        <f t="shared" si="35"/>
        <v>22.380538065254722</v>
      </c>
      <c r="I75" s="178">
        <f>Inputs!G47</f>
        <v>22</v>
      </c>
      <c r="J75" s="178">
        <f>Inputs!H47</f>
        <v>20</v>
      </c>
      <c r="K75" s="178">
        <f>Inputs!I47</f>
        <v>20</v>
      </c>
      <c r="L75" s="178">
        <f>Inputs!J47</f>
        <v>20</v>
      </c>
      <c r="M75" s="183">
        <f>Inputs!K47</f>
        <v>20</v>
      </c>
      <c r="N75" s="184">
        <f>Inputs!L47</f>
        <v>20</v>
      </c>
    </row>
    <row r="76" spans="2:14" ht="15" customHeight="1" outlineLevel="1">
      <c r="B76" s="21"/>
      <c r="C76" s="44"/>
      <c r="D76" s="185"/>
      <c r="E76" s="185"/>
      <c r="F76" s="186"/>
      <c r="G76" s="187"/>
      <c r="H76" s="187"/>
      <c r="I76" s="188"/>
      <c r="J76" s="188"/>
      <c r="K76" s="188"/>
      <c r="L76" s="188"/>
      <c r="M76" s="188"/>
      <c r="N76" s="188"/>
    </row>
    <row r="77" spans="2:14" ht="15" customHeight="1" outlineLevel="1">
      <c r="B77" s="21"/>
      <c r="C77" s="44"/>
      <c r="D77" s="185"/>
      <c r="E77" s="185"/>
      <c r="F77" s="186"/>
      <c r="G77" s="187"/>
      <c r="H77" s="187"/>
      <c r="I77" s="188"/>
      <c r="J77" s="188"/>
      <c r="K77" s="188"/>
      <c r="L77" s="188"/>
      <c r="M77" s="188"/>
      <c r="N77" s="188"/>
    </row>
    <row r="78" spans="2:14" ht="15" customHeight="1" outlineLevel="1">
      <c r="B78" s="35" t="s">
        <v>91</v>
      </c>
      <c r="C78" s="147"/>
      <c r="D78" s="44"/>
      <c r="E78" s="44"/>
      <c r="F78" s="44"/>
      <c r="G78" s="44"/>
      <c r="H78" s="44"/>
      <c r="I78" s="176"/>
      <c r="J78" s="176"/>
      <c r="K78" s="176"/>
      <c r="L78" s="176"/>
      <c r="M78" s="176"/>
      <c r="N78" s="176"/>
    </row>
    <row r="79" spans="2:14" ht="15" customHeight="1" outlineLevel="1">
      <c r="B79" s="177" t="s">
        <v>87</v>
      </c>
      <c r="C79" s="44"/>
      <c r="D79" s="44"/>
      <c r="E79" s="44"/>
      <c r="F79" s="118">
        <f>3004+7997</f>
        <v>11001</v>
      </c>
      <c r="G79" s="118">
        <f>2977+8248</f>
        <v>11225</v>
      </c>
      <c r="H79" s="118">
        <f>2406+8380</f>
        <v>10786</v>
      </c>
      <c r="I79" s="112">
        <f>(I73/I$67)*I68</f>
        <v>10766.601073972603</v>
      </c>
      <c r="J79" s="112">
        <f t="shared" ref="J79:N79" si="36">(J73/J$67)*J68</f>
        <v>10885.468037260274</v>
      </c>
      <c r="K79" s="112">
        <f t="shared" si="36"/>
        <v>11321.674014115068</v>
      </c>
      <c r="L79" s="112">
        <f t="shared" si="36"/>
        <v>11776.986628383125</v>
      </c>
      <c r="M79" s="127">
        <f t="shared" si="36"/>
        <v>12252.28544618934</v>
      </c>
      <c r="N79" s="172">
        <f t="shared" si="36"/>
        <v>12748.491628949259</v>
      </c>
    </row>
    <row r="80" spans="2:14" ht="15" customHeight="1" outlineLevel="1">
      <c r="B80" s="177" t="s">
        <v>89</v>
      </c>
      <c r="C80" s="44"/>
      <c r="D80" s="44"/>
      <c r="E80" s="44"/>
      <c r="F80" s="118">
        <v>8578</v>
      </c>
      <c r="G80" s="118">
        <v>9724</v>
      </c>
      <c r="H80" s="118">
        <v>9232</v>
      </c>
      <c r="I80" s="112">
        <f>(I74/I$67)*I69</f>
        <v>9308.6238452054786</v>
      </c>
      <c r="J80" s="112">
        <f t="shared" ref="J80:N80" si="37">(J74/J$67)*J69</f>
        <v>9293.0795700953422</v>
      </c>
      <c r="K80" s="112">
        <f t="shared" si="37"/>
        <v>9665.4748440502335</v>
      </c>
      <c r="L80" s="112">
        <f t="shared" si="37"/>
        <v>10054.181727316793</v>
      </c>
      <c r="M80" s="173">
        <f t="shared" si="37"/>
        <v>10459.95111806107</v>
      </c>
      <c r="N80" s="174">
        <f t="shared" si="37"/>
        <v>10883.569424942967</v>
      </c>
    </row>
    <row r="81" spans="2:14" ht="15" customHeight="1" outlineLevel="1">
      <c r="B81" s="177" t="s">
        <v>90</v>
      </c>
      <c r="C81" s="44"/>
      <c r="D81" s="44"/>
      <c r="E81" s="44"/>
      <c r="F81" s="118">
        <v>3095</v>
      </c>
      <c r="G81" s="118">
        <v>3344</v>
      </c>
      <c r="H81" s="118">
        <v>2678</v>
      </c>
      <c r="I81" s="112">
        <f>(I75/I$67)*I69</f>
        <v>2730.5296612602742</v>
      </c>
      <c r="J81" s="112">
        <f t="shared" ref="J81:N81" si="38">(J75/J$67)*J69</f>
        <v>2581.4109916931507</v>
      </c>
      <c r="K81" s="112">
        <f t="shared" si="38"/>
        <v>2684.8541233472874</v>
      </c>
      <c r="L81" s="112">
        <f t="shared" si="38"/>
        <v>2792.8282575879975</v>
      </c>
      <c r="M81" s="175">
        <f t="shared" si="38"/>
        <v>2905.5419772391861</v>
      </c>
      <c r="N81" s="111">
        <f t="shared" si="38"/>
        <v>3023.2137291508243</v>
      </c>
    </row>
    <row r="82" spans="2:14" ht="15" customHeight="1" outlineLevel="1">
      <c r="B82" s="21"/>
      <c r="C82" s="147"/>
      <c r="D82" s="44"/>
      <c r="E82" s="44"/>
      <c r="F82" s="44"/>
      <c r="G82" s="44"/>
      <c r="H82" s="44"/>
      <c r="I82" s="176"/>
      <c r="J82" s="176"/>
      <c r="K82" s="176"/>
      <c r="L82" s="176"/>
      <c r="M82" s="176"/>
      <c r="N82" s="176"/>
    </row>
    <row r="83" spans="2:14" ht="15" customHeight="1" outlineLevel="1">
      <c r="B83" s="21"/>
      <c r="C83" s="147"/>
      <c r="D83" s="44"/>
      <c r="E83" s="44"/>
      <c r="F83" s="44"/>
      <c r="G83" s="44"/>
      <c r="H83" s="44"/>
      <c r="I83" s="176"/>
      <c r="J83" s="176"/>
      <c r="K83" s="176"/>
      <c r="L83" s="176"/>
      <c r="M83" s="176"/>
      <c r="N83" s="176"/>
    </row>
    <row r="84" spans="2:14" ht="15" customHeight="1" outlineLevel="1">
      <c r="B84" s="35" t="s">
        <v>92</v>
      </c>
      <c r="C84" s="147"/>
      <c r="D84" s="44"/>
      <c r="E84" s="44"/>
      <c r="F84" s="132"/>
      <c r="G84" s="44"/>
      <c r="H84" s="44"/>
      <c r="I84" s="176"/>
      <c r="J84" s="176"/>
      <c r="K84" s="176"/>
      <c r="L84" s="176"/>
      <c r="M84" s="176"/>
      <c r="N84" s="176"/>
    </row>
    <row r="85" spans="2:14" ht="15" customHeight="1" outlineLevel="1">
      <c r="B85" s="177" t="s">
        <v>93</v>
      </c>
      <c r="C85" s="44"/>
      <c r="D85" s="44"/>
      <c r="E85" s="44"/>
      <c r="F85" s="112">
        <f>F79+F80</f>
        <v>19579</v>
      </c>
      <c r="G85" s="112">
        <f t="shared" ref="G85:N85" si="39">G79+G80</f>
        <v>20949</v>
      </c>
      <c r="H85" s="112">
        <f t="shared" si="39"/>
        <v>20018</v>
      </c>
      <c r="I85" s="112">
        <f t="shared" si="39"/>
        <v>20075.224919178079</v>
      </c>
      <c r="J85" s="112">
        <f t="shared" si="39"/>
        <v>20178.547607355616</v>
      </c>
      <c r="K85" s="112">
        <f t="shared" si="39"/>
        <v>20987.148858165303</v>
      </c>
      <c r="L85" s="112">
        <f t="shared" si="39"/>
        <v>21831.16835569992</v>
      </c>
      <c r="M85" s="127">
        <f t="shared" si="39"/>
        <v>22712.236564250408</v>
      </c>
      <c r="N85" s="172">
        <f t="shared" si="39"/>
        <v>23632.061053892226</v>
      </c>
    </row>
    <row r="86" spans="2:14" ht="15" customHeight="1" outlineLevel="1">
      <c r="B86" s="177" t="s">
        <v>94</v>
      </c>
      <c r="C86" s="44"/>
      <c r="D86" s="44"/>
      <c r="E86" s="44"/>
      <c r="F86" s="120">
        <f>F81</f>
        <v>3095</v>
      </c>
      <c r="G86" s="120">
        <f t="shared" ref="G86:N86" si="40">G81</f>
        <v>3344</v>
      </c>
      <c r="H86" s="120">
        <f t="shared" si="40"/>
        <v>2678</v>
      </c>
      <c r="I86" s="120">
        <f t="shared" si="40"/>
        <v>2730.5296612602742</v>
      </c>
      <c r="J86" s="120">
        <f t="shared" si="40"/>
        <v>2581.4109916931507</v>
      </c>
      <c r="K86" s="120">
        <f t="shared" si="40"/>
        <v>2684.8541233472874</v>
      </c>
      <c r="L86" s="120">
        <f t="shared" si="40"/>
        <v>2792.8282575879975</v>
      </c>
      <c r="M86" s="175">
        <f t="shared" si="40"/>
        <v>2905.5419772391861</v>
      </c>
      <c r="N86" s="111">
        <f t="shared" si="40"/>
        <v>3023.2137291508243</v>
      </c>
    </row>
    <row r="87" spans="2:14" ht="15" customHeight="1" outlineLevel="1">
      <c r="B87" s="177" t="s">
        <v>95</v>
      </c>
      <c r="C87" s="44"/>
      <c r="D87" s="44"/>
      <c r="E87" s="44"/>
      <c r="F87" s="112">
        <f>F85-F86</f>
        <v>16484</v>
      </c>
      <c r="G87" s="112">
        <f t="shared" ref="G87:N87" si="41">G85-G86</f>
        <v>17605</v>
      </c>
      <c r="H87" s="112">
        <f t="shared" si="41"/>
        <v>17340</v>
      </c>
      <c r="I87" s="112">
        <f t="shared" si="41"/>
        <v>17344.695257917803</v>
      </c>
      <c r="J87" s="112">
        <f t="shared" si="41"/>
        <v>17597.136615662464</v>
      </c>
      <c r="K87" s="112">
        <f t="shared" si="41"/>
        <v>18302.294734818017</v>
      </c>
      <c r="L87" s="112">
        <f t="shared" si="41"/>
        <v>19038.340098111923</v>
      </c>
      <c r="M87" s="175">
        <f t="shared" si="41"/>
        <v>19806.694587011221</v>
      </c>
      <c r="N87" s="111">
        <f t="shared" si="41"/>
        <v>20608.8473247414</v>
      </c>
    </row>
    <row r="88" spans="2:14" ht="15" customHeight="1" outlineLevel="1">
      <c r="B88" s="189"/>
      <c r="C88" s="147"/>
      <c r="D88" s="44"/>
      <c r="E88" s="44"/>
      <c r="F88" s="44"/>
      <c r="G88" s="44"/>
      <c r="H88" s="44"/>
      <c r="I88" s="176"/>
      <c r="J88" s="176"/>
      <c r="K88" s="176"/>
      <c r="L88" s="176"/>
      <c r="M88" s="176"/>
      <c r="N88" s="176"/>
    </row>
    <row r="89" spans="2:14" ht="15" customHeight="1" outlineLevel="1">
      <c r="B89" s="189"/>
      <c r="C89" s="147"/>
      <c r="D89" s="44"/>
      <c r="E89" s="44"/>
      <c r="F89" s="44"/>
      <c r="G89" s="44"/>
      <c r="H89" s="44"/>
      <c r="I89" s="176"/>
      <c r="J89" s="176"/>
      <c r="K89" s="176"/>
      <c r="L89" s="176"/>
      <c r="M89" s="176"/>
      <c r="N89" s="176"/>
    </row>
    <row r="90" spans="2:14" ht="15" customHeight="1" outlineLevel="1" thickBot="1">
      <c r="B90" s="190" t="s">
        <v>96</v>
      </c>
      <c r="C90" s="147"/>
      <c r="D90" s="147"/>
      <c r="E90" s="147"/>
      <c r="F90" s="191"/>
      <c r="G90" s="192">
        <f>F87-G87</f>
        <v>-1121</v>
      </c>
      <c r="H90" s="192">
        <f t="shared" ref="H90:N90" si="42">G87-H87</f>
        <v>265</v>
      </c>
      <c r="I90" s="192">
        <f t="shared" si="42"/>
        <v>-4.6952579178032465</v>
      </c>
      <c r="J90" s="192">
        <f t="shared" si="42"/>
        <v>-252.44135774466122</v>
      </c>
      <c r="K90" s="192">
        <f t="shared" si="42"/>
        <v>-705.15811915555241</v>
      </c>
      <c r="L90" s="192">
        <f t="shared" si="42"/>
        <v>-736.04536329390612</v>
      </c>
      <c r="M90" s="192">
        <f t="shared" si="42"/>
        <v>-768.3544888992983</v>
      </c>
      <c r="N90" s="193">
        <f t="shared" si="42"/>
        <v>-802.15273773017907</v>
      </c>
    </row>
    <row r="91" spans="2:14" ht="15" customHeight="1" outlineLevel="1">
      <c r="B91" s="21"/>
      <c r="C91" s="147"/>
      <c r="D91" s="147"/>
      <c r="E91" s="147"/>
      <c r="F91" s="147"/>
      <c r="G91" s="194"/>
      <c r="H91" s="194"/>
      <c r="I91" s="194"/>
      <c r="J91" s="194"/>
      <c r="K91" s="194"/>
      <c r="L91" s="194"/>
      <c r="M91" s="194"/>
      <c r="N91" s="194"/>
    </row>
    <row r="92" spans="2:14" ht="15" customHeight="1" outlineLevel="1">
      <c r="B92" s="21"/>
      <c r="C92" s="147"/>
      <c r="D92" s="147"/>
      <c r="E92" s="147"/>
      <c r="F92" s="147"/>
      <c r="G92" s="194"/>
      <c r="H92" s="194"/>
      <c r="I92" s="194"/>
      <c r="J92" s="194"/>
      <c r="K92" s="194"/>
      <c r="L92" s="194"/>
      <c r="M92" s="194"/>
      <c r="N92" s="194"/>
    </row>
    <row r="93" spans="2:14" ht="15" customHeight="1" outlineLevel="1">
      <c r="B93" s="113"/>
      <c r="C93" s="36"/>
      <c r="D93" s="30"/>
      <c r="E93" s="30"/>
      <c r="F93" s="30"/>
      <c r="G93" s="30"/>
      <c r="H93" s="30"/>
      <c r="I93" s="63"/>
      <c r="J93" s="63"/>
      <c r="K93" s="63"/>
      <c r="L93" s="113"/>
      <c r="M93" s="113"/>
      <c r="N93" s="195" t="s">
        <v>97</v>
      </c>
    </row>
    <row r="94" spans="2:14" ht="15" customHeight="1" outlineLevel="1">
      <c r="B94" s="44"/>
      <c r="C94" s="44"/>
      <c r="D94" s="176"/>
      <c r="E94" s="176"/>
      <c r="F94" s="176"/>
      <c r="G94" s="176"/>
      <c r="H94" s="176"/>
      <c r="I94" s="176"/>
      <c r="J94" s="176"/>
      <c r="K94" s="176"/>
      <c r="L94" s="176"/>
      <c r="M94" s="44"/>
      <c r="N94" s="21"/>
    </row>
    <row r="95" spans="2:14" ht="15" customHeight="1" outlineLevel="1"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</row>
    <row r="96" spans="2:14" ht="15" customHeight="1">
      <c r="B96" s="37"/>
      <c r="C96" s="115"/>
      <c r="D96" s="116"/>
      <c r="E96" s="44"/>
      <c r="F96" s="117"/>
      <c r="G96" s="117"/>
      <c r="H96" s="117"/>
      <c r="I96" s="117"/>
      <c r="J96" s="117"/>
      <c r="K96" s="117"/>
      <c r="L96" s="117"/>
      <c r="M96" s="117"/>
      <c r="N96" s="117"/>
    </row>
    <row r="97" spans="2:14" ht="15" customHeight="1">
      <c r="B97" s="196" t="s">
        <v>98</v>
      </c>
      <c r="C97" s="57"/>
      <c r="D97" s="168"/>
      <c r="E97" s="168"/>
      <c r="F97" s="59"/>
      <c r="G97" s="59"/>
      <c r="H97" s="59"/>
      <c r="I97" s="169"/>
      <c r="J97" s="170"/>
      <c r="K97" s="170"/>
      <c r="L97" s="170"/>
      <c r="M97" s="170"/>
      <c r="N97" s="102"/>
    </row>
    <row r="98" spans="2:14" ht="15" customHeight="1" outlineLevel="1">
      <c r="B98" s="126"/>
      <c r="C98" s="36"/>
      <c r="D98" s="103"/>
      <c r="E98" s="103"/>
      <c r="F98" s="104"/>
      <c r="G98" s="104"/>
      <c r="H98" s="104"/>
      <c r="I98" s="104"/>
      <c r="J98" s="104"/>
      <c r="K98" s="104"/>
      <c r="L98" s="104"/>
      <c r="M98" s="104"/>
      <c r="N98" s="113"/>
    </row>
    <row r="99" spans="2:14" ht="15" customHeight="1" outlineLevel="1" thickBot="1">
      <c r="B99" s="18" t="s">
        <v>39</v>
      </c>
      <c r="C99" s="36"/>
      <c r="D99" s="30"/>
      <c r="E99" s="30"/>
      <c r="F99" s="105">
        <f>F64</f>
        <v>2023</v>
      </c>
      <c r="G99" s="105">
        <f t="shared" ref="G99:M99" si="43">G64</f>
        <v>2024</v>
      </c>
      <c r="H99" s="105">
        <f t="shared" si="43"/>
        <v>2025</v>
      </c>
      <c r="I99" s="106">
        <f t="shared" si="43"/>
        <v>2026</v>
      </c>
      <c r="J99" s="106">
        <f t="shared" si="43"/>
        <v>2027</v>
      </c>
      <c r="K99" s="106">
        <f t="shared" si="43"/>
        <v>2028</v>
      </c>
      <c r="L99" s="106">
        <f t="shared" si="43"/>
        <v>2029</v>
      </c>
      <c r="M99" s="106">
        <f t="shared" si="43"/>
        <v>2030</v>
      </c>
      <c r="N99" s="113"/>
    </row>
    <row r="100" spans="2:14" ht="15" customHeight="1" outlineLevel="1">
      <c r="B100" s="18"/>
      <c r="C100" s="36"/>
      <c r="D100" s="30"/>
      <c r="E100" s="30"/>
      <c r="F100" s="30"/>
      <c r="G100" s="30"/>
      <c r="H100" s="30"/>
      <c r="I100" s="63"/>
      <c r="J100" s="63"/>
      <c r="K100" s="63"/>
      <c r="L100" s="63"/>
      <c r="M100" s="63"/>
      <c r="N100" s="63"/>
    </row>
    <row r="101" spans="2:14" ht="15" customHeight="1" outlineLevel="1">
      <c r="B101" s="18"/>
      <c r="C101" s="36"/>
      <c r="D101" s="30"/>
      <c r="E101" s="30"/>
      <c r="F101" s="30"/>
      <c r="G101" s="30"/>
      <c r="H101" s="197"/>
      <c r="I101" s="197"/>
      <c r="J101" s="197"/>
      <c r="K101" s="197"/>
      <c r="L101" s="197"/>
      <c r="M101" s="197"/>
      <c r="N101" s="113"/>
    </row>
    <row r="102" spans="2:14" ht="15" customHeight="1" outlineLevel="1">
      <c r="B102" s="198" t="s">
        <v>99</v>
      </c>
      <c r="C102" s="36"/>
      <c r="D102" s="30"/>
      <c r="E102" s="30"/>
      <c r="F102" s="108">
        <v>904</v>
      </c>
      <c r="G102" s="109">
        <v>916</v>
      </c>
      <c r="H102" s="109">
        <v>1161</v>
      </c>
      <c r="I102" s="199">
        <f>Inputs!G35</f>
        <v>1091.6137200000001</v>
      </c>
      <c r="J102" s="199">
        <f>Inputs!H35</f>
        <v>1135.1988096000002</v>
      </c>
      <c r="K102" s="199">
        <f>Inputs!I35</f>
        <v>1180.6888614720001</v>
      </c>
      <c r="L102" s="199">
        <f>Inputs!J35</f>
        <v>1228.1714626742403</v>
      </c>
      <c r="M102" s="200">
        <f>Inputs!K35</f>
        <v>1277.7383393883169</v>
      </c>
      <c r="N102" s="113"/>
    </row>
    <row r="103" spans="2:14" ht="15" customHeight="1" outlineLevel="1">
      <c r="B103" s="201"/>
      <c r="C103" s="36"/>
      <c r="D103" s="30"/>
      <c r="E103" s="30"/>
      <c r="F103" s="118"/>
      <c r="G103" s="118"/>
      <c r="H103" s="118"/>
      <c r="I103" s="112"/>
      <c r="J103" s="112"/>
      <c r="K103" s="112"/>
      <c r="L103" s="112"/>
      <c r="M103" s="112"/>
      <c r="N103" s="113"/>
    </row>
    <row r="104" spans="2:14" ht="15" customHeight="1" outlineLevel="1">
      <c r="B104" s="18"/>
      <c r="C104" s="36"/>
      <c r="D104" s="30"/>
      <c r="E104" s="30"/>
      <c r="F104" s="30"/>
      <c r="G104" s="30"/>
      <c r="H104" s="30"/>
      <c r="I104" s="63"/>
      <c r="J104" s="63"/>
      <c r="K104" s="63"/>
      <c r="L104" s="63"/>
      <c r="M104" s="63"/>
      <c r="N104" s="113"/>
    </row>
    <row r="105" spans="2:14" ht="15" customHeight="1" outlineLevel="1">
      <c r="B105" s="202" t="s">
        <v>100</v>
      </c>
      <c r="C105" s="113"/>
      <c r="D105" s="203" t="s">
        <v>101</v>
      </c>
      <c r="E105" s="30"/>
      <c r="F105" s="30"/>
      <c r="G105" s="30"/>
      <c r="H105" s="30"/>
      <c r="I105" s="204" t="s">
        <v>102</v>
      </c>
      <c r="J105" s="205"/>
      <c r="K105" s="205"/>
      <c r="L105" s="205"/>
      <c r="M105" s="206"/>
      <c r="N105" s="113"/>
    </row>
    <row r="106" spans="2:14" ht="15" customHeight="1" outlineLevel="1">
      <c r="B106" s="207" t="s">
        <v>64</v>
      </c>
      <c r="C106" s="208"/>
      <c r="D106" s="209">
        <f>Inputs!L113</f>
        <v>12</v>
      </c>
      <c r="E106" s="30"/>
      <c r="F106" s="210"/>
      <c r="G106" s="30"/>
      <c r="H106" s="30"/>
      <c r="I106" s="211">
        <v>1</v>
      </c>
      <c r="J106" s="211">
        <f>I106+1</f>
        <v>2</v>
      </c>
      <c r="K106" s="211">
        <f>J106+1</f>
        <v>3</v>
      </c>
      <c r="L106" s="211">
        <f>K106+1</f>
        <v>4</v>
      </c>
      <c r="M106" s="211">
        <f>L106+1</f>
        <v>5</v>
      </c>
      <c r="N106" s="113"/>
    </row>
    <row r="107" spans="2:14" ht="15" customHeight="1" outlineLevel="1">
      <c r="B107" s="110" t="str">
        <f>CONCATENATE("PP&amp;E at End of ",H99)</f>
        <v>PP&amp;E at End of 2025</v>
      </c>
      <c r="C107" s="212"/>
      <c r="D107" s="213">
        <f>Inputs!L99</f>
        <v>7525</v>
      </c>
      <c r="E107" s="30"/>
      <c r="F107" s="210"/>
      <c r="G107" s="30"/>
      <c r="H107" s="214"/>
      <c r="I107" s="215">
        <f>MIN($D106-SUM($H107:H107),1)</f>
        <v>1</v>
      </c>
      <c r="J107" s="215">
        <f>MIN($D106-SUM($H107:I107),1)</f>
        <v>1</v>
      </c>
      <c r="K107" s="215">
        <f>MIN($D106-SUM($H107:J107),1)</f>
        <v>1</v>
      </c>
      <c r="L107" s="215">
        <f>MIN($D106-SUM($H107:K107),1)</f>
        <v>1</v>
      </c>
      <c r="M107" s="216">
        <f>MIN($D106-SUM($H107:L107),1)</f>
        <v>1</v>
      </c>
      <c r="N107" s="113"/>
    </row>
    <row r="108" spans="2:14" ht="15" customHeight="1" outlineLevel="1">
      <c r="B108" s="217"/>
      <c r="C108" s="218"/>
      <c r="D108" s="219"/>
      <c r="E108" s="30"/>
      <c r="F108" s="30"/>
      <c r="G108" s="30"/>
      <c r="H108" s="30"/>
      <c r="I108" s="220"/>
      <c r="J108" s="220"/>
      <c r="K108" s="220"/>
      <c r="L108" s="220"/>
      <c r="M108" s="220"/>
      <c r="N108" s="113"/>
    </row>
    <row r="109" spans="2:14" ht="15" customHeight="1" outlineLevel="1">
      <c r="B109" s="221"/>
      <c r="C109" s="15"/>
      <c r="D109" s="119"/>
      <c r="E109" s="119"/>
      <c r="F109" s="119"/>
      <c r="G109" s="119"/>
      <c r="H109" s="119"/>
      <c r="I109" s="222"/>
      <c r="J109" s="222"/>
      <c r="K109" s="222"/>
      <c r="L109" s="222"/>
      <c r="M109" s="222"/>
      <c r="N109" s="113"/>
    </row>
    <row r="110" spans="2:14" ht="15" customHeight="1" outlineLevel="1">
      <c r="B110" s="18"/>
      <c r="C110" s="36"/>
      <c r="D110" s="30"/>
      <c r="E110" s="30"/>
      <c r="F110" s="30"/>
      <c r="G110" s="30"/>
      <c r="H110" s="30"/>
      <c r="I110" s="63"/>
      <c r="J110" s="63"/>
      <c r="K110" s="63"/>
      <c r="L110" s="63"/>
      <c r="M110" s="63"/>
      <c r="N110" s="113"/>
    </row>
    <row r="111" spans="2:14" ht="15" customHeight="1" outlineLevel="1">
      <c r="B111" s="202" t="s">
        <v>103</v>
      </c>
      <c r="C111" s="113"/>
      <c r="D111" s="203" t="s">
        <v>101</v>
      </c>
      <c r="E111" s="30"/>
      <c r="F111" s="30"/>
      <c r="G111" s="30"/>
      <c r="H111" s="30"/>
      <c r="I111" s="204" t="s">
        <v>102</v>
      </c>
      <c r="J111" s="205"/>
      <c r="K111" s="205"/>
      <c r="L111" s="205"/>
      <c r="M111" s="206"/>
      <c r="N111" s="113"/>
    </row>
    <row r="112" spans="2:14" ht="15" customHeight="1" outlineLevel="1">
      <c r="B112" s="207" t="s">
        <v>67</v>
      </c>
      <c r="C112" s="208"/>
      <c r="D112" s="223">
        <f>Inputs!L114</f>
        <v>30</v>
      </c>
      <c r="E112" s="30"/>
      <c r="F112" s="30"/>
      <c r="G112" s="30"/>
      <c r="H112" s="30"/>
      <c r="I112" s="224">
        <v>1</v>
      </c>
      <c r="J112" s="224">
        <f>I112+1</f>
        <v>2</v>
      </c>
      <c r="K112" s="224">
        <f>J112+1</f>
        <v>3</v>
      </c>
      <c r="L112" s="224">
        <f>K112+1</f>
        <v>4</v>
      </c>
      <c r="M112" s="224">
        <f>L112+1</f>
        <v>5</v>
      </c>
      <c r="N112" s="113"/>
    </row>
    <row r="113" spans="2:14" ht="15" customHeight="1" outlineLevel="1">
      <c r="B113" s="110" t="s">
        <v>62</v>
      </c>
      <c r="C113" s="212"/>
      <c r="D113" s="225">
        <f>Inputs!L112</f>
        <v>0.5</v>
      </c>
      <c r="E113" s="30"/>
      <c r="F113" s="30"/>
      <c r="G113" s="30"/>
      <c r="H113" s="30"/>
      <c r="I113" s="226">
        <f>IF(H113="",$D$113,MIN($D112-SUM($H113:H113),1))</f>
        <v>0.5</v>
      </c>
      <c r="J113" s="227">
        <f>IF(I113="",$D$113,MIN($D112-SUM($H113:I113),1))</f>
        <v>1</v>
      </c>
      <c r="K113" s="227">
        <f>IF(J113="",$D$113,MIN($D112-SUM($H113:J113),1))</f>
        <v>1</v>
      </c>
      <c r="L113" s="227">
        <f>IF(K113="",$D$113,MIN($D112-SUM($H113:K113),1))</f>
        <v>1</v>
      </c>
      <c r="M113" s="228">
        <f>IF(L113="",$D$113,MIN($D112-SUM($H113:L113),1))</f>
        <v>1</v>
      </c>
      <c r="N113" s="113"/>
    </row>
    <row r="114" spans="2:14" ht="15" customHeight="1" outlineLevel="1">
      <c r="B114" s="217"/>
      <c r="C114" s="113"/>
      <c r="D114" s="229"/>
      <c r="E114" s="30"/>
      <c r="F114" s="30"/>
      <c r="G114" s="30"/>
      <c r="H114" s="30"/>
      <c r="I114" s="220"/>
      <c r="J114" s="220"/>
      <c r="K114" s="220"/>
      <c r="L114" s="220"/>
      <c r="M114" s="220"/>
      <c r="N114" s="113"/>
    </row>
    <row r="115" spans="2:14" ht="15" customHeight="1" outlineLevel="1">
      <c r="B115" s="18"/>
      <c r="C115" s="36"/>
      <c r="D115" s="30"/>
      <c r="E115" s="30"/>
      <c r="F115" s="30"/>
      <c r="G115" s="30"/>
      <c r="H115" s="30"/>
      <c r="I115" s="204" t="s">
        <v>102</v>
      </c>
      <c r="J115" s="205"/>
      <c r="K115" s="205"/>
      <c r="L115" s="205"/>
      <c r="M115" s="206"/>
      <c r="N115" s="113"/>
    </row>
    <row r="116" spans="2:14" ht="15" customHeight="1" outlineLevel="1">
      <c r="B116" s="113"/>
      <c r="C116" s="113"/>
      <c r="D116" s="189"/>
      <c r="E116" s="113"/>
      <c r="F116" s="189" t="s">
        <v>104</v>
      </c>
      <c r="G116" s="189" t="s">
        <v>105</v>
      </c>
      <c r="H116" s="30"/>
      <c r="I116" s="230">
        <f>I$99</f>
        <v>2026</v>
      </c>
      <c r="J116" s="230">
        <f t="shared" ref="J116:M116" si="44">J$99</f>
        <v>2027</v>
      </c>
      <c r="K116" s="230">
        <f t="shared" si="44"/>
        <v>2028</v>
      </c>
      <c r="L116" s="230">
        <f t="shared" si="44"/>
        <v>2029</v>
      </c>
      <c r="M116" s="230">
        <f t="shared" si="44"/>
        <v>2030</v>
      </c>
      <c r="N116" s="113"/>
    </row>
    <row r="117" spans="2:14" ht="15" customHeight="1" outlineLevel="1">
      <c r="B117" s="18"/>
      <c r="C117" s="113"/>
      <c r="D117" s="189"/>
      <c r="E117" s="113"/>
      <c r="F117" s="231">
        <f>I99</f>
        <v>2026</v>
      </c>
      <c r="G117" s="232">
        <f>$D$112</f>
        <v>30</v>
      </c>
      <c r="H117" s="233"/>
      <c r="I117" s="234">
        <f>I113</f>
        <v>0.5</v>
      </c>
      <c r="J117" s="234">
        <f t="shared" ref="J117:M117" si="45">J113</f>
        <v>1</v>
      </c>
      <c r="K117" s="234">
        <f t="shared" si="45"/>
        <v>1</v>
      </c>
      <c r="L117" s="234">
        <f t="shared" si="45"/>
        <v>1</v>
      </c>
      <c r="M117" s="235">
        <f t="shared" si="45"/>
        <v>1</v>
      </c>
      <c r="N117" s="113"/>
    </row>
    <row r="118" spans="2:14" ht="15" customHeight="1" outlineLevel="1">
      <c r="B118" s="18"/>
      <c r="C118" s="113"/>
      <c r="D118" s="189"/>
      <c r="E118" s="113"/>
      <c r="F118" s="236">
        <f>F117+1</f>
        <v>2027</v>
      </c>
      <c r="G118" s="237">
        <f t="shared" ref="G118:G121" si="46">$D$112</f>
        <v>30</v>
      </c>
      <c r="H118" s="238"/>
      <c r="I118" s="239">
        <f>H117</f>
        <v>0</v>
      </c>
      <c r="J118" s="239">
        <f t="shared" ref="J118:M121" si="47">I117</f>
        <v>0.5</v>
      </c>
      <c r="K118" s="239">
        <f t="shared" si="47"/>
        <v>1</v>
      </c>
      <c r="L118" s="239">
        <f t="shared" si="47"/>
        <v>1</v>
      </c>
      <c r="M118" s="240">
        <f t="shared" si="47"/>
        <v>1</v>
      </c>
      <c r="N118" s="113"/>
    </row>
    <row r="119" spans="2:14" ht="15" customHeight="1" outlineLevel="1">
      <c r="B119" s="18"/>
      <c r="C119" s="113"/>
      <c r="D119" s="189"/>
      <c r="E119" s="113"/>
      <c r="F119" s="236">
        <f>F118+1</f>
        <v>2028</v>
      </c>
      <c r="G119" s="237">
        <f t="shared" si="46"/>
        <v>30</v>
      </c>
      <c r="H119" s="238"/>
      <c r="I119" s="239">
        <f>H118</f>
        <v>0</v>
      </c>
      <c r="J119" s="239">
        <f t="shared" si="47"/>
        <v>0</v>
      </c>
      <c r="K119" s="239">
        <f t="shared" si="47"/>
        <v>0.5</v>
      </c>
      <c r="L119" s="239">
        <f t="shared" si="47"/>
        <v>1</v>
      </c>
      <c r="M119" s="240">
        <f t="shared" si="47"/>
        <v>1</v>
      </c>
      <c r="N119" s="113"/>
    </row>
    <row r="120" spans="2:14" ht="15" customHeight="1" outlineLevel="1">
      <c r="B120" s="18"/>
      <c r="C120" s="113"/>
      <c r="D120" s="189"/>
      <c r="E120" s="113"/>
      <c r="F120" s="236">
        <f>F119+1</f>
        <v>2029</v>
      </c>
      <c r="G120" s="237">
        <f t="shared" si="46"/>
        <v>30</v>
      </c>
      <c r="H120" s="238"/>
      <c r="I120" s="239">
        <f>H119</f>
        <v>0</v>
      </c>
      <c r="J120" s="239">
        <f t="shared" si="47"/>
        <v>0</v>
      </c>
      <c r="K120" s="239">
        <f t="shared" si="47"/>
        <v>0</v>
      </c>
      <c r="L120" s="239">
        <f t="shared" si="47"/>
        <v>0.5</v>
      </c>
      <c r="M120" s="240">
        <f t="shared" si="47"/>
        <v>1</v>
      </c>
      <c r="N120" s="113"/>
    </row>
    <row r="121" spans="2:14" ht="15" customHeight="1" outlineLevel="1">
      <c r="B121" s="18"/>
      <c r="C121" s="113"/>
      <c r="D121" s="189"/>
      <c r="E121" s="113"/>
      <c r="F121" s="241">
        <f>F120+1</f>
        <v>2030</v>
      </c>
      <c r="G121" s="242">
        <f t="shared" si="46"/>
        <v>30</v>
      </c>
      <c r="H121" s="243"/>
      <c r="I121" s="244">
        <f>H120</f>
        <v>0</v>
      </c>
      <c r="J121" s="244">
        <f t="shared" si="47"/>
        <v>0</v>
      </c>
      <c r="K121" s="244">
        <f t="shared" si="47"/>
        <v>0</v>
      </c>
      <c r="L121" s="244">
        <f t="shared" si="47"/>
        <v>0</v>
      </c>
      <c r="M121" s="245">
        <f t="shared" si="47"/>
        <v>0.5</v>
      </c>
      <c r="N121" s="113"/>
    </row>
    <row r="122" spans="2:14" ht="15" customHeight="1" outlineLevel="1">
      <c r="B122" s="18"/>
      <c r="C122" s="36"/>
      <c r="D122" s="189"/>
      <c r="E122" s="30"/>
      <c r="F122" s="30"/>
      <c r="G122" s="30"/>
      <c r="H122" s="30"/>
      <c r="I122" s="63"/>
      <c r="J122" s="63"/>
      <c r="K122" s="63"/>
      <c r="L122" s="63"/>
      <c r="M122" s="63"/>
      <c r="N122" s="113"/>
    </row>
    <row r="123" spans="2:14" ht="15" customHeight="1" outlineLevel="1">
      <c r="B123" s="18"/>
      <c r="C123" s="36"/>
      <c r="D123" s="30"/>
      <c r="E123" s="30"/>
      <c r="F123" s="30"/>
      <c r="G123" s="30"/>
      <c r="H123" s="30"/>
      <c r="I123" s="204"/>
      <c r="J123" s="205"/>
      <c r="K123" s="205"/>
      <c r="L123" s="205"/>
      <c r="M123" s="206"/>
      <c r="N123" s="113"/>
    </row>
    <row r="124" spans="2:14" ht="15" customHeight="1" outlineLevel="1">
      <c r="B124" s="113"/>
      <c r="C124" s="113"/>
      <c r="D124" s="113"/>
      <c r="E124" s="30"/>
      <c r="F124" s="189" t="s">
        <v>104</v>
      </c>
      <c r="G124" s="189"/>
      <c r="H124" s="189"/>
      <c r="I124" s="230"/>
      <c r="J124" s="230"/>
      <c r="K124" s="230"/>
      <c r="L124" s="230"/>
      <c r="M124" s="230"/>
      <c r="N124" s="113"/>
    </row>
    <row r="125" spans="2:14" ht="15" customHeight="1" outlineLevel="1">
      <c r="B125" s="18"/>
      <c r="C125" s="113"/>
      <c r="D125" s="113"/>
      <c r="E125" s="30"/>
      <c r="F125" s="231">
        <f>F117</f>
        <v>2026</v>
      </c>
      <c r="G125" s="246">
        <f>SUMIF($I$99:$M$99,F125,$I$102:$M$102)</f>
        <v>1091.6137200000001</v>
      </c>
      <c r="H125" s="247">
        <f>G125/G117</f>
        <v>36.387124</v>
      </c>
      <c r="I125" s="248">
        <f>I117*$H125</f>
        <v>18.193562</v>
      </c>
      <c r="J125" s="248">
        <f t="shared" ref="J125:M125" si="48">J117*$H125</f>
        <v>36.387124</v>
      </c>
      <c r="K125" s="248">
        <f>K117*$H125</f>
        <v>36.387124</v>
      </c>
      <c r="L125" s="248">
        <f t="shared" si="48"/>
        <v>36.387124</v>
      </c>
      <c r="M125" s="249">
        <f t="shared" si="48"/>
        <v>36.387124</v>
      </c>
      <c r="N125" s="113"/>
    </row>
    <row r="126" spans="2:14" ht="15" customHeight="1" outlineLevel="1">
      <c r="B126" s="18"/>
      <c r="C126" s="113"/>
      <c r="D126" s="113"/>
      <c r="E126" s="30"/>
      <c r="F126" s="236">
        <f>F118</f>
        <v>2027</v>
      </c>
      <c r="G126" s="250">
        <f t="shared" ref="G126:G129" si="49">SUMIF($I$99:$M$99,F126,$I$102:$M$102)</f>
        <v>1135.1988096000002</v>
      </c>
      <c r="H126" s="251">
        <f t="shared" ref="H126:H129" si="50">G126/G118</f>
        <v>37.83996032000001</v>
      </c>
      <c r="I126" s="157">
        <f t="shared" ref="I126:M126" si="51">I118*$H126</f>
        <v>0</v>
      </c>
      <c r="J126" s="157">
        <f t="shared" si="51"/>
        <v>18.919980160000005</v>
      </c>
      <c r="K126" s="157">
        <f t="shared" si="51"/>
        <v>37.83996032000001</v>
      </c>
      <c r="L126" s="157">
        <f t="shared" si="51"/>
        <v>37.83996032000001</v>
      </c>
      <c r="M126" s="252">
        <f t="shared" si="51"/>
        <v>37.83996032000001</v>
      </c>
      <c r="N126" s="113"/>
    </row>
    <row r="127" spans="2:14" ht="15" customHeight="1" outlineLevel="1">
      <c r="B127" s="18"/>
      <c r="C127" s="113"/>
      <c r="D127" s="113"/>
      <c r="E127" s="30"/>
      <c r="F127" s="236">
        <f>F119</f>
        <v>2028</v>
      </c>
      <c r="G127" s="250">
        <f t="shared" si="49"/>
        <v>1180.6888614720001</v>
      </c>
      <c r="H127" s="251">
        <f t="shared" si="50"/>
        <v>39.356295382400006</v>
      </c>
      <c r="I127" s="157">
        <f t="shared" ref="I127:M127" si="52">I119*$H127</f>
        <v>0</v>
      </c>
      <c r="J127" s="157">
        <f t="shared" si="52"/>
        <v>0</v>
      </c>
      <c r="K127" s="157">
        <f t="shared" si="52"/>
        <v>19.678147691200003</v>
      </c>
      <c r="L127" s="157">
        <f t="shared" si="52"/>
        <v>39.356295382400006</v>
      </c>
      <c r="M127" s="252">
        <f t="shared" si="52"/>
        <v>39.356295382400006</v>
      </c>
      <c r="N127" s="113"/>
    </row>
    <row r="128" spans="2:14" ht="15" customHeight="1" outlineLevel="1">
      <c r="B128" s="18"/>
      <c r="C128" s="113"/>
      <c r="D128" s="113"/>
      <c r="E128" s="30"/>
      <c r="F128" s="236">
        <f>F120</f>
        <v>2029</v>
      </c>
      <c r="G128" s="250">
        <f t="shared" si="49"/>
        <v>1228.1714626742403</v>
      </c>
      <c r="H128" s="251">
        <f t="shared" si="50"/>
        <v>40.93904875580801</v>
      </c>
      <c r="I128" s="157">
        <f t="shared" ref="I128:M128" si="53">I120*$H128</f>
        <v>0</v>
      </c>
      <c r="J128" s="157">
        <f t="shared" si="53"/>
        <v>0</v>
      </c>
      <c r="K128" s="157">
        <f t="shared" si="53"/>
        <v>0</v>
      </c>
      <c r="L128" s="157">
        <f t="shared" si="53"/>
        <v>20.469524377904005</v>
      </c>
      <c r="M128" s="252">
        <f t="shared" si="53"/>
        <v>40.93904875580801</v>
      </c>
      <c r="N128" s="113"/>
    </row>
    <row r="129" spans="2:14" ht="15" customHeight="1" outlineLevel="1">
      <c r="B129" s="18"/>
      <c r="C129" s="113"/>
      <c r="D129" s="113"/>
      <c r="E129" s="30"/>
      <c r="F129" s="241">
        <f>F121</f>
        <v>2030</v>
      </c>
      <c r="G129" s="253">
        <f t="shared" si="49"/>
        <v>1277.7383393883169</v>
      </c>
      <c r="H129" s="254">
        <f t="shared" si="50"/>
        <v>42.591277979610567</v>
      </c>
      <c r="I129" s="255">
        <f t="shared" ref="I129:M129" si="54">I121*$H129</f>
        <v>0</v>
      </c>
      <c r="J129" s="255">
        <f t="shared" si="54"/>
        <v>0</v>
      </c>
      <c r="K129" s="255">
        <f t="shared" si="54"/>
        <v>0</v>
      </c>
      <c r="L129" s="255">
        <f t="shared" si="54"/>
        <v>0</v>
      </c>
      <c r="M129" s="256">
        <f t="shared" si="54"/>
        <v>21.295638989805283</v>
      </c>
      <c r="N129" s="113"/>
    </row>
    <row r="130" spans="2:14" ht="15" customHeight="1" outlineLevel="1">
      <c r="B130" s="221"/>
      <c r="C130" s="15"/>
      <c r="D130" s="119"/>
      <c r="E130" s="119"/>
      <c r="F130" s="119"/>
      <c r="G130" s="119"/>
      <c r="H130" s="119"/>
      <c r="I130" s="222"/>
      <c r="J130" s="222"/>
      <c r="K130" s="222"/>
      <c r="L130" s="222"/>
      <c r="M130" s="222"/>
      <c r="N130" s="113"/>
    </row>
    <row r="131" spans="2:14" ht="15" customHeight="1" outlineLevel="1">
      <c r="B131" s="18"/>
      <c r="C131" s="36"/>
      <c r="D131" s="30"/>
      <c r="E131" s="30"/>
      <c r="F131" s="30"/>
      <c r="G131" s="30"/>
      <c r="H131" s="30"/>
      <c r="I131" s="63"/>
      <c r="J131" s="63"/>
      <c r="K131" s="63"/>
      <c r="L131" s="63"/>
      <c r="M131" s="63"/>
      <c r="N131" s="113"/>
    </row>
    <row r="132" spans="2:14" ht="15" customHeight="1" outlineLevel="1">
      <c r="B132" s="202" t="s">
        <v>106</v>
      </c>
      <c r="C132" s="36"/>
      <c r="D132" s="30"/>
      <c r="E132" s="30"/>
      <c r="F132" s="30"/>
      <c r="G132" s="30"/>
      <c r="H132" s="30"/>
      <c r="I132" s="63"/>
      <c r="J132" s="63"/>
      <c r="K132" s="63"/>
      <c r="L132" s="63"/>
      <c r="M132" s="63"/>
      <c r="N132" s="113"/>
    </row>
    <row r="133" spans="2:14" ht="15" customHeight="1" outlineLevel="1">
      <c r="B133" s="177" t="s">
        <v>107</v>
      </c>
      <c r="C133" s="36"/>
      <c r="D133" s="30"/>
      <c r="E133" s="30"/>
      <c r="F133" s="117"/>
      <c r="G133" s="117"/>
      <c r="H133" s="117"/>
      <c r="I133" s="112">
        <f>$D$107/$D$106*I107</f>
        <v>627.08333333333337</v>
      </c>
      <c r="J133" s="112">
        <f t="shared" ref="J133:M133" si="55">$D$107/$D$106*J107</f>
        <v>627.08333333333337</v>
      </c>
      <c r="K133" s="112">
        <f t="shared" si="55"/>
        <v>627.08333333333337</v>
      </c>
      <c r="L133" s="112">
        <f t="shared" si="55"/>
        <v>627.08333333333337</v>
      </c>
      <c r="M133" s="112">
        <f t="shared" si="55"/>
        <v>627.08333333333337</v>
      </c>
      <c r="N133" s="113"/>
    </row>
    <row r="134" spans="2:14" ht="15" customHeight="1" outlineLevel="1">
      <c r="B134" s="177" t="s">
        <v>108</v>
      </c>
      <c r="C134" s="36"/>
      <c r="D134" s="30"/>
      <c r="E134" s="30"/>
      <c r="F134" s="30"/>
      <c r="G134" s="30"/>
      <c r="H134" s="30"/>
      <c r="I134" s="112">
        <f>SUM(I125:I129)</f>
        <v>18.193562</v>
      </c>
      <c r="J134" s="112">
        <f>SUM(J125:J129)</f>
        <v>55.307104160000009</v>
      </c>
      <c r="K134" s="112">
        <f t="shared" ref="K134:M134" si="56">SUM(K125:K129)</f>
        <v>93.905232011200013</v>
      </c>
      <c r="L134" s="112">
        <f t="shared" si="56"/>
        <v>134.05290408030402</v>
      </c>
      <c r="M134" s="112">
        <f t="shared" si="56"/>
        <v>175.81806744801332</v>
      </c>
      <c r="N134" s="113"/>
    </row>
    <row r="135" spans="2:14" ht="15" customHeight="1" outlineLevel="1" thickBot="1">
      <c r="B135" s="177" t="s">
        <v>109</v>
      </c>
      <c r="C135" s="36"/>
      <c r="D135" s="125"/>
      <c r="E135" s="30"/>
      <c r="F135" s="30"/>
      <c r="G135" s="30"/>
      <c r="H135" s="30"/>
      <c r="I135" s="134">
        <f>SUM(I133:I134)</f>
        <v>645.27689533333341</v>
      </c>
      <c r="J135" s="134">
        <f>SUM(J133:J134)</f>
        <v>682.39043749333337</v>
      </c>
      <c r="K135" s="134">
        <f>SUM(K133:K134)</f>
        <v>720.98856534453341</v>
      </c>
      <c r="L135" s="134">
        <f>SUM(L133:L134)</f>
        <v>761.13623741363745</v>
      </c>
      <c r="M135" s="134">
        <f>SUM(M133:M134)</f>
        <v>802.90140078134664</v>
      </c>
      <c r="N135" s="113"/>
    </row>
    <row r="136" spans="2:14" ht="15" customHeight="1" outlineLevel="1">
      <c r="B136" s="18"/>
      <c r="C136" s="36"/>
      <c r="D136" s="30"/>
      <c r="E136" s="30"/>
      <c r="F136" s="30"/>
      <c r="G136" s="30"/>
      <c r="H136" s="30"/>
      <c r="I136" s="117"/>
      <c r="J136" s="117"/>
      <c r="K136" s="117"/>
      <c r="L136" s="117"/>
      <c r="M136" s="117"/>
      <c r="N136" s="113"/>
    </row>
    <row r="137" spans="2:14" ht="15" customHeight="1" outlineLevel="1">
      <c r="B137" s="18"/>
      <c r="C137" s="36"/>
      <c r="D137" s="30"/>
      <c r="E137" s="30"/>
      <c r="F137" s="30"/>
      <c r="G137" s="30"/>
      <c r="H137" s="30"/>
      <c r="I137" s="117"/>
      <c r="J137" s="117"/>
      <c r="K137" s="117"/>
      <c r="L137" s="117"/>
      <c r="M137" s="117"/>
      <c r="N137" s="113"/>
    </row>
    <row r="138" spans="2:14" ht="15" customHeight="1" outlineLevel="1">
      <c r="B138" s="113"/>
      <c r="C138" s="36"/>
      <c r="D138" s="30"/>
      <c r="E138" s="30"/>
      <c r="F138" s="30"/>
      <c r="G138" s="30"/>
      <c r="H138" s="30"/>
      <c r="I138" s="63"/>
      <c r="J138" s="63"/>
      <c r="K138" s="63"/>
      <c r="L138" s="63"/>
      <c r="M138" s="195" t="s">
        <v>110</v>
      </c>
      <c r="N138" s="113"/>
    </row>
    <row r="139" spans="2:14" ht="15" customHeight="1" outlineLevel="1">
      <c r="B139" s="113"/>
      <c r="C139" s="36"/>
      <c r="D139" s="30"/>
      <c r="E139" s="30"/>
      <c r="F139" s="30"/>
      <c r="G139" s="30"/>
      <c r="H139" s="30"/>
      <c r="I139" s="63"/>
      <c r="J139" s="63"/>
      <c r="K139" s="63"/>
      <c r="L139" s="63"/>
      <c r="M139" s="257" t="s">
        <v>111</v>
      </c>
      <c r="N139" s="113"/>
    </row>
    <row r="140" spans="2:14" ht="15" customHeight="1" outlineLevel="1">
      <c r="B140" s="113"/>
      <c r="C140" s="36"/>
      <c r="D140" s="30"/>
      <c r="E140" s="30"/>
      <c r="F140" s="30"/>
      <c r="G140" s="30"/>
      <c r="H140" s="30"/>
      <c r="I140" s="63"/>
      <c r="J140" s="63"/>
      <c r="K140" s="63"/>
      <c r="L140" s="63"/>
      <c r="M140" s="258"/>
      <c r="N140" s="113"/>
    </row>
    <row r="141" spans="2:14" ht="15" customHeight="1" outlineLevel="1">
      <c r="B141" s="221"/>
      <c r="C141" s="15"/>
      <c r="D141" s="119"/>
      <c r="E141" s="119"/>
      <c r="F141" s="119"/>
      <c r="G141" s="119"/>
      <c r="H141" s="119"/>
      <c r="I141" s="222"/>
      <c r="J141" s="222"/>
      <c r="K141" s="222"/>
      <c r="L141" s="222"/>
      <c r="M141" s="222"/>
      <c r="N141" s="222"/>
    </row>
    <row r="142" spans="2:14" ht="15" customHeight="1">
      <c r="B142" s="18"/>
      <c r="C142" s="36"/>
      <c r="D142" s="30"/>
      <c r="E142" s="30"/>
      <c r="F142" s="30"/>
      <c r="G142" s="30"/>
      <c r="H142" s="30"/>
      <c r="I142" s="63"/>
      <c r="J142" s="63"/>
      <c r="K142" s="63"/>
      <c r="L142" s="63"/>
      <c r="M142" s="63"/>
      <c r="N142" s="63"/>
    </row>
    <row r="143" spans="2:14" ht="15" customHeight="1">
      <c r="B143" s="56" t="s">
        <v>112</v>
      </c>
      <c r="C143" s="57"/>
      <c r="D143" s="168"/>
      <c r="E143" s="168"/>
      <c r="F143" s="59"/>
      <c r="G143" s="59"/>
      <c r="H143" s="59"/>
      <c r="I143" s="169"/>
      <c r="J143" s="170"/>
      <c r="K143" s="170"/>
      <c r="L143" s="170"/>
      <c r="M143" s="170"/>
      <c r="N143" s="102"/>
    </row>
    <row r="144" spans="2:14" ht="15" customHeight="1" outlineLevel="1">
      <c r="B144" s="126"/>
      <c r="C144" s="36"/>
      <c r="D144" s="103"/>
      <c r="E144" s="103"/>
      <c r="F144" s="104"/>
      <c r="G144" s="104"/>
      <c r="H144" s="104"/>
      <c r="I144" s="104"/>
      <c r="J144" s="104"/>
      <c r="K144" s="104"/>
      <c r="L144" s="104"/>
      <c r="M144" s="104"/>
      <c r="N144" s="113"/>
    </row>
    <row r="145" spans="2:14" ht="15" customHeight="1" outlineLevel="1" thickBot="1">
      <c r="B145" s="18" t="s">
        <v>39</v>
      </c>
      <c r="C145" s="36"/>
      <c r="D145" s="30"/>
      <c r="E145" s="30"/>
      <c r="F145" s="104"/>
      <c r="G145" s="30"/>
      <c r="H145" s="105">
        <f>H99</f>
        <v>2025</v>
      </c>
      <c r="I145" s="106">
        <f t="shared" ref="I145:M145" si="57">I99</f>
        <v>2026</v>
      </c>
      <c r="J145" s="106">
        <f t="shared" si="57"/>
        <v>2027</v>
      </c>
      <c r="K145" s="106">
        <f t="shared" si="57"/>
        <v>2028</v>
      </c>
      <c r="L145" s="106">
        <f t="shared" si="57"/>
        <v>2029</v>
      </c>
      <c r="M145" s="106">
        <f t="shared" si="57"/>
        <v>2030</v>
      </c>
      <c r="N145" s="63"/>
    </row>
    <row r="146" spans="2:14" ht="15" customHeight="1" outlineLevel="1">
      <c r="B146" s="18"/>
      <c r="C146" s="36"/>
      <c r="D146" s="30"/>
      <c r="E146" s="30"/>
      <c r="F146" s="30"/>
      <c r="G146" s="30"/>
      <c r="H146" s="30"/>
      <c r="I146" s="63"/>
      <c r="J146" s="63"/>
      <c r="K146" s="63"/>
      <c r="L146" s="63"/>
      <c r="M146" s="63"/>
      <c r="N146" s="63"/>
    </row>
    <row r="147" spans="2:14" ht="15" customHeight="1" outlineLevel="1">
      <c r="B147" s="18"/>
      <c r="C147" s="36"/>
      <c r="D147" s="30"/>
      <c r="E147" s="30"/>
      <c r="F147" s="30"/>
      <c r="G147" s="30"/>
      <c r="H147" s="30"/>
      <c r="I147" s="63"/>
      <c r="J147" s="63"/>
      <c r="K147" s="63"/>
      <c r="L147" s="63"/>
      <c r="M147" s="63"/>
      <c r="N147" s="113"/>
    </row>
    <row r="148" spans="2:14" ht="15" customHeight="1" outlineLevel="1">
      <c r="B148" s="217" t="s">
        <v>15</v>
      </c>
      <c r="C148" s="36"/>
      <c r="D148" s="30"/>
      <c r="E148" s="30"/>
      <c r="F148" s="30"/>
      <c r="G148" s="112"/>
      <c r="H148" s="112"/>
      <c r="I148" s="259">
        <f>I102</f>
        <v>1091.6137200000001</v>
      </c>
      <c r="J148" s="199">
        <f>J102</f>
        <v>1135.1988096000002</v>
      </c>
      <c r="K148" s="199">
        <f>K102</f>
        <v>1180.6888614720001</v>
      </c>
      <c r="L148" s="199">
        <f>L102</f>
        <v>1228.1714626742403</v>
      </c>
      <c r="M148" s="200">
        <f>M102</f>
        <v>1277.7383393883169</v>
      </c>
      <c r="N148" s="112"/>
    </row>
    <row r="149" spans="2:14" ht="15" customHeight="1" outlineLevel="1">
      <c r="B149" s="18"/>
      <c r="C149" s="36"/>
      <c r="D149" s="30"/>
      <c r="E149" s="30"/>
      <c r="F149" s="30"/>
      <c r="G149" s="30"/>
      <c r="H149" s="30"/>
      <c r="I149" s="63"/>
      <c r="J149" s="63"/>
      <c r="K149" s="63"/>
      <c r="L149" s="63"/>
      <c r="M149" s="63"/>
      <c r="N149" s="113"/>
    </row>
    <row r="150" spans="2:14" ht="15" customHeight="1" outlineLevel="1">
      <c r="B150" s="107" t="s">
        <v>58</v>
      </c>
      <c r="C150" s="260"/>
      <c r="D150" s="261">
        <f>Inputs!L110</f>
        <v>0.5</v>
      </c>
      <c r="E150" s="30"/>
      <c r="F150" s="30"/>
      <c r="G150" s="30"/>
      <c r="H150" s="30"/>
      <c r="I150" s="63"/>
      <c r="J150" s="63"/>
      <c r="K150" s="63"/>
      <c r="L150" s="63"/>
      <c r="M150" s="63"/>
      <c r="N150" s="113"/>
    </row>
    <row r="151" spans="2:14" ht="15" customHeight="1" outlineLevel="1">
      <c r="B151" s="262" t="s">
        <v>60</v>
      </c>
      <c r="C151" s="212"/>
      <c r="D151" s="263">
        <f>Inputs!L111</f>
        <v>0.17499999999999999</v>
      </c>
      <c r="E151" s="30"/>
      <c r="F151" s="30"/>
      <c r="G151" s="30"/>
      <c r="H151" s="30"/>
      <c r="I151" s="113"/>
      <c r="J151" s="63"/>
      <c r="K151" s="63"/>
      <c r="L151" s="63"/>
      <c r="M151" s="63"/>
      <c r="N151" s="113"/>
    </row>
    <row r="152" spans="2:14" ht="15" customHeight="1" outlineLevel="1">
      <c r="B152" s="37"/>
      <c r="C152" s="114"/>
      <c r="D152" s="264"/>
      <c r="E152" s="30"/>
      <c r="F152" s="30"/>
      <c r="G152" s="30"/>
      <c r="H152" s="30"/>
      <c r="I152" s="265"/>
      <c r="J152" s="265"/>
      <c r="K152" s="265"/>
      <c r="L152" s="265"/>
      <c r="M152" s="265"/>
      <c r="N152" s="113"/>
    </row>
    <row r="153" spans="2:14" ht="15" customHeight="1" outlineLevel="1">
      <c r="B153" s="37"/>
      <c r="C153" s="114"/>
      <c r="D153" s="264"/>
      <c r="E153" s="30"/>
      <c r="F153" s="30"/>
      <c r="G153" s="30"/>
      <c r="H153" s="30"/>
      <c r="I153" s="265"/>
      <c r="J153" s="265"/>
      <c r="K153" s="265"/>
      <c r="L153" s="265"/>
      <c r="M153" s="265"/>
      <c r="N153" s="113"/>
    </row>
    <row r="154" spans="2:14" ht="15" customHeight="1" outlineLevel="1">
      <c r="B154" s="202" t="s">
        <v>113</v>
      </c>
      <c r="C154" s="36"/>
      <c r="D154" s="30"/>
      <c r="E154" s="30"/>
      <c r="F154" s="30"/>
      <c r="G154" s="30"/>
      <c r="H154" s="30"/>
      <c r="I154" s="63"/>
      <c r="J154" s="63"/>
      <c r="K154" s="63"/>
      <c r="L154" s="63"/>
      <c r="M154" s="63"/>
      <c r="N154" s="113"/>
    </row>
    <row r="155" spans="2:14" ht="15" customHeight="1" outlineLevel="1">
      <c r="B155" s="177" t="s">
        <v>114</v>
      </c>
      <c r="C155" s="36"/>
      <c r="D155" s="30"/>
      <c r="E155" s="30"/>
      <c r="F155" s="30"/>
      <c r="G155" s="117"/>
      <c r="H155" s="112"/>
      <c r="I155" s="112">
        <f>H158</f>
        <v>7525</v>
      </c>
      <c r="J155" s="112">
        <f t="shared" ref="J155:M155" si="58">I158</f>
        <v>7971.336824666666</v>
      </c>
      <c r="K155" s="112">
        <f t="shared" si="58"/>
        <v>8424.1451967733319</v>
      </c>
      <c r="L155" s="112">
        <f t="shared" si="58"/>
        <v>8883.8454929007985</v>
      </c>
      <c r="M155" s="112">
        <f t="shared" si="58"/>
        <v>9350.8807181614011</v>
      </c>
      <c r="N155" s="112"/>
    </row>
    <row r="156" spans="2:14" ht="15" customHeight="1" outlineLevel="1">
      <c r="B156" s="177" t="s">
        <v>15</v>
      </c>
      <c r="C156" s="36"/>
      <c r="D156" s="30"/>
      <c r="E156" s="30"/>
      <c r="F156" s="30"/>
      <c r="G156" s="117"/>
      <c r="H156" s="266"/>
      <c r="I156" s="112">
        <f>I148</f>
        <v>1091.6137200000001</v>
      </c>
      <c r="J156" s="112">
        <f t="shared" ref="J156:M156" si="59">J148</f>
        <v>1135.1988096000002</v>
      </c>
      <c r="K156" s="112">
        <f t="shared" si="59"/>
        <v>1180.6888614720001</v>
      </c>
      <c r="L156" s="112">
        <f t="shared" si="59"/>
        <v>1228.1714626742403</v>
      </c>
      <c r="M156" s="112">
        <f t="shared" si="59"/>
        <v>1277.7383393883169</v>
      </c>
      <c r="N156" s="112"/>
    </row>
    <row r="157" spans="2:14" ht="15" customHeight="1" outlineLevel="1">
      <c r="B157" s="177" t="s">
        <v>115</v>
      </c>
      <c r="C157" s="36"/>
      <c r="D157" s="30"/>
      <c r="E157" s="30"/>
      <c r="F157" s="30"/>
      <c r="G157" s="117"/>
      <c r="H157" s="120"/>
      <c r="I157" s="267">
        <f>-I135</f>
        <v>-645.27689533333341</v>
      </c>
      <c r="J157" s="267">
        <f t="shared" ref="J157:M157" si="60">-J135</f>
        <v>-682.39043749333337</v>
      </c>
      <c r="K157" s="267">
        <f t="shared" si="60"/>
        <v>-720.98856534453341</v>
      </c>
      <c r="L157" s="267">
        <f t="shared" si="60"/>
        <v>-761.13623741363745</v>
      </c>
      <c r="M157" s="267">
        <f t="shared" si="60"/>
        <v>-802.90140078134664</v>
      </c>
      <c r="N157" s="112"/>
    </row>
    <row r="158" spans="2:14" ht="15" customHeight="1" outlineLevel="1">
      <c r="B158" s="177" t="s">
        <v>116</v>
      </c>
      <c r="C158" s="36"/>
      <c r="D158" s="30"/>
      <c r="E158" s="30"/>
      <c r="F158" s="268"/>
      <c r="G158" s="117"/>
      <c r="H158" s="132">
        <f>$D$107</f>
        <v>7525</v>
      </c>
      <c r="I158" s="112">
        <f>SUM(I155:I157)</f>
        <v>7971.336824666666</v>
      </c>
      <c r="J158" s="112">
        <f t="shared" ref="J158:M158" si="61">SUM(J155:J157)</f>
        <v>8424.1451967733319</v>
      </c>
      <c r="K158" s="112">
        <f t="shared" si="61"/>
        <v>8883.8454929007985</v>
      </c>
      <c r="L158" s="112">
        <f t="shared" si="61"/>
        <v>9350.8807181614011</v>
      </c>
      <c r="M158" s="112">
        <f t="shared" si="61"/>
        <v>9825.7176567683709</v>
      </c>
      <c r="N158" s="112"/>
    </row>
    <row r="159" spans="2:14" ht="15" customHeight="1" outlineLevel="1">
      <c r="B159" s="18"/>
      <c r="C159" s="36"/>
      <c r="D159" s="30"/>
      <c r="E159" s="30"/>
      <c r="F159" s="30"/>
      <c r="G159" s="30"/>
      <c r="H159" s="148"/>
      <c r="I159" s="148"/>
      <c r="J159" s="148"/>
      <c r="K159" s="148"/>
      <c r="L159" s="148"/>
      <c r="M159" s="148"/>
      <c r="N159" s="148"/>
    </row>
    <row r="160" spans="2:14" ht="15" customHeight="1" outlineLevel="1">
      <c r="B160" s="18"/>
      <c r="C160" s="36"/>
      <c r="D160" s="30"/>
      <c r="E160" s="30"/>
      <c r="F160" s="30"/>
      <c r="G160" s="30"/>
      <c r="H160" s="148"/>
      <c r="I160" s="148"/>
      <c r="J160" s="148"/>
      <c r="K160" s="148"/>
      <c r="L160" s="148"/>
      <c r="M160" s="148"/>
      <c r="N160" s="148"/>
    </row>
    <row r="161" spans="2:14" ht="15" customHeight="1" outlineLevel="1">
      <c r="B161" s="202" t="s">
        <v>117</v>
      </c>
      <c r="C161" s="36"/>
      <c r="D161" s="30"/>
      <c r="E161" s="30"/>
      <c r="F161" s="30"/>
      <c r="G161" s="30"/>
      <c r="H161" s="148"/>
      <c r="I161" s="148"/>
      <c r="J161" s="148"/>
      <c r="K161" s="148"/>
      <c r="L161" s="148"/>
      <c r="M161" s="148"/>
      <c r="N161" s="148"/>
    </row>
    <row r="162" spans="2:14" ht="15" customHeight="1" outlineLevel="1">
      <c r="B162" s="177" t="s">
        <v>114</v>
      </c>
      <c r="C162" s="36"/>
      <c r="D162" s="30"/>
      <c r="E162" s="30"/>
      <c r="F162" s="30"/>
      <c r="G162" s="117"/>
      <c r="H162" s="112"/>
      <c r="I162" s="112">
        <f>H165</f>
        <v>5382</v>
      </c>
      <c r="J162" s="112">
        <f t="shared" ref="J162:M162" si="62">I165</f>
        <v>5436.2475195000006</v>
      </c>
      <c r="K162" s="112">
        <f t="shared" si="62"/>
        <v>5520.7731173475013</v>
      </c>
      <c r="L162" s="112">
        <f t="shared" si="62"/>
        <v>5632.0164079048891</v>
      </c>
      <c r="M162" s="112">
        <f t="shared" si="62"/>
        <v>5767.119996211778</v>
      </c>
      <c r="N162" s="112"/>
    </row>
    <row r="163" spans="2:14" ht="15" customHeight="1" outlineLevel="1">
      <c r="B163" s="177" t="s">
        <v>15</v>
      </c>
      <c r="C163" s="36"/>
      <c r="D163" s="30"/>
      <c r="E163" s="30"/>
      <c r="F163" s="30"/>
      <c r="G163" s="117"/>
      <c r="H163" s="112"/>
      <c r="I163" s="112">
        <f>I148</f>
        <v>1091.6137200000001</v>
      </c>
      <c r="J163" s="112">
        <f t="shared" ref="J163:M163" si="63">J148</f>
        <v>1135.1988096000002</v>
      </c>
      <c r="K163" s="112">
        <f t="shared" si="63"/>
        <v>1180.6888614720001</v>
      </c>
      <c r="L163" s="112">
        <f t="shared" si="63"/>
        <v>1228.1714626742403</v>
      </c>
      <c r="M163" s="112">
        <f t="shared" si="63"/>
        <v>1277.7383393883169</v>
      </c>
      <c r="N163" s="112"/>
    </row>
    <row r="164" spans="2:14" ht="15" customHeight="1" outlineLevel="1">
      <c r="B164" s="177" t="s">
        <v>118</v>
      </c>
      <c r="C164" s="113"/>
      <c r="D164" s="113"/>
      <c r="E164" s="113"/>
      <c r="F164" s="113"/>
      <c r="G164" s="113"/>
      <c r="H164" s="269"/>
      <c r="I164" s="120">
        <f>-(I162+I163*$D$150)*$D$151</f>
        <v>-1037.3662004999999</v>
      </c>
      <c r="J164" s="120">
        <f t="shared" ref="J164:M164" si="64">-(J162+J163*$D$150)*$D$151</f>
        <v>-1050.6732117525</v>
      </c>
      <c r="K164" s="120">
        <f t="shared" si="64"/>
        <v>-1069.4455709146125</v>
      </c>
      <c r="L164" s="120">
        <f t="shared" si="64"/>
        <v>-1093.0678743673516</v>
      </c>
      <c r="M164" s="120">
        <f t="shared" si="64"/>
        <v>-1121.0481040335389</v>
      </c>
      <c r="N164" s="112"/>
    </row>
    <row r="165" spans="2:14" ht="15" customHeight="1" outlineLevel="1">
      <c r="B165" s="177" t="s">
        <v>116</v>
      </c>
      <c r="C165" s="36"/>
      <c r="D165" s="125"/>
      <c r="E165" s="30"/>
      <c r="F165" s="270"/>
      <c r="G165" s="117"/>
      <c r="H165" s="132">
        <f>Inputs!L100</f>
        <v>5382</v>
      </c>
      <c r="I165" s="112">
        <f>SUM(I162:I164)</f>
        <v>5436.2475195000006</v>
      </c>
      <c r="J165" s="112">
        <f t="shared" ref="J165:M165" si="65">SUM(J162:J164)</f>
        <v>5520.7731173475013</v>
      </c>
      <c r="K165" s="112">
        <f t="shared" si="65"/>
        <v>5632.0164079048891</v>
      </c>
      <c r="L165" s="112">
        <f t="shared" si="65"/>
        <v>5767.119996211778</v>
      </c>
      <c r="M165" s="112">
        <f t="shared" si="65"/>
        <v>5923.8102315665556</v>
      </c>
      <c r="N165" s="112"/>
    </row>
    <row r="166" spans="2:14" ht="15" customHeight="1" outlineLevel="1">
      <c r="B166" s="18"/>
      <c r="C166" s="36"/>
      <c r="D166" s="30"/>
      <c r="E166" s="30"/>
      <c r="F166" s="30"/>
      <c r="G166" s="30"/>
      <c r="H166" s="30"/>
      <c r="I166" s="63"/>
      <c r="J166" s="63"/>
      <c r="K166" s="63"/>
      <c r="L166" s="63"/>
      <c r="M166" s="63"/>
      <c r="N166" s="113"/>
    </row>
    <row r="167" spans="2:14" ht="15" customHeight="1" outlineLevel="1">
      <c r="B167" s="18"/>
      <c r="C167" s="36"/>
      <c r="D167" s="30"/>
      <c r="E167" s="30"/>
      <c r="F167" s="30"/>
      <c r="G167" s="30"/>
      <c r="H167" s="30"/>
      <c r="I167" s="63"/>
      <c r="J167" s="63"/>
      <c r="K167" s="63"/>
      <c r="L167" s="63"/>
      <c r="M167" s="63"/>
      <c r="N167" s="113"/>
    </row>
    <row r="168" spans="2:14" ht="15" customHeight="1" outlineLevel="1">
      <c r="B168" s="18"/>
      <c r="C168" s="36"/>
      <c r="D168" s="30"/>
      <c r="E168" s="30"/>
      <c r="F168" s="30"/>
      <c r="G168" s="30"/>
      <c r="H168" s="30"/>
      <c r="I168" s="63"/>
      <c r="J168" s="63"/>
      <c r="K168" s="63"/>
      <c r="L168" s="63"/>
      <c r="M168" s="195" t="s">
        <v>119</v>
      </c>
      <c r="N168" s="113"/>
    </row>
    <row r="169" spans="2:14" ht="15" customHeight="1" outlineLevel="1">
      <c r="B169" s="18"/>
      <c r="C169" s="36"/>
      <c r="D169" s="30"/>
      <c r="E169" s="30"/>
      <c r="F169" s="30"/>
      <c r="G169" s="30"/>
      <c r="H169" s="30"/>
      <c r="I169" s="63"/>
      <c r="J169" s="63"/>
      <c r="K169" s="63"/>
      <c r="L169" s="63"/>
      <c r="M169" s="258"/>
      <c r="N169" s="113"/>
    </row>
    <row r="170" spans="2:14" ht="15" customHeight="1" outlineLevel="1">
      <c r="B170" s="221"/>
      <c r="C170" s="15"/>
      <c r="D170" s="119"/>
      <c r="E170" s="119"/>
      <c r="F170" s="119"/>
      <c r="G170" s="119"/>
      <c r="H170" s="119"/>
      <c r="I170" s="222"/>
      <c r="J170" s="222"/>
      <c r="K170" s="222"/>
      <c r="L170" s="222"/>
      <c r="M170" s="222"/>
      <c r="N170" s="222"/>
    </row>
    <row r="171" spans="2:14" ht="15" customHeight="1">
      <c r="B171" s="18"/>
      <c r="C171" s="36"/>
      <c r="D171" s="30"/>
      <c r="E171" s="30"/>
      <c r="F171" s="30"/>
      <c r="G171" s="30"/>
      <c r="H171" s="30"/>
      <c r="I171" s="63"/>
      <c r="J171" s="63"/>
      <c r="K171" s="63"/>
      <c r="L171" s="63"/>
      <c r="M171" s="63"/>
      <c r="N171" s="63"/>
    </row>
    <row r="172" spans="2:14" ht="15" customHeight="1">
      <c r="B172" s="56" t="s">
        <v>120</v>
      </c>
      <c r="C172" s="57"/>
      <c r="D172" s="168"/>
      <c r="E172" s="168"/>
      <c r="F172" s="59"/>
      <c r="G172" s="59"/>
      <c r="H172" s="59"/>
      <c r="I172" s="169"/>
      <c r="J172" s="170"/>
      <c r="K172" s="170"/>
      <c r="L172" s="170"/>
      <c r="M172" s="170"/>
      <c r="N172" s="102"/>
    </row>
    <row r="173" spans="2:14" ht="15" customHeight="1" outlineLevel="1">
      <c r="B173" s="126"/>
      <c r="C173" s="36"/>
      <c r="D173" s="103"/>
      <c r="E173" s="103"/>
      <c r="F173" s="104"/>
      <c r="G173" s="104"/>
      <c r="H173" s="104"/>
      <c r="I173" s="104"/>
      <c r="J173" s="104"/>
      <c r="K173" s="104"/>
      <c r="L173" s="104"/>
      <c r="M173" s="104"/>
      <c r="N173" s="113"/>
    </row>
    <row r="174" spans="2:14" ht="15" customHeight="1" outlineLevel="1" thickBot="1">
      <c r="B174" s="18" t="s">
        <v>39</v>
      </c>
      <c r="C174" s="36"/>
      <c r="D174" s="30"/>
      <c r="E174" s="30"/>
      <c r="F174" s="30"/>
      <c r="G174" s="30"/>
      <c r="H174" s="105">
        <f>H145</f>
        <v>2025</v>
      </c>
      <c r="I174" s="106">
        <f t="shared" ref="I174:M174" si="66">I145</f>
        <v>2026</v>
      </c>
      <c r="J174" s="106">
        <f t="shared" si="66"/>
        <v>2027</v>
      </c>
      <c r="K174" s="106">
        <f t="shared" si="66"/>
        <v>2028</v>
      </c>
      <c r="L174" s="106">
        <f t="shared" si="66"/>
        <v>2029</v>
      </c>
      <c r="M174" s="106">
        <f t="shared" si="66"/>
        <v>2030</v>
      </c>
      <c r="N174" s="63"/>
    </row>
    <row r="175" spans="2:14" ht="15" customHeight="1" outlineLevel="1">
      <c r="B175" s="18"/>
      <c r="C175" s="36"/>
      <c r="D175" s="30"/>
      <c r="E175" s="30"/>
      <c r="F175" s="30"/>
      <c r="G175" s="30"/>
      <c r="H175" s="30"/>
      <c r="I175" s="63"/>
      <c r="J175" s="63"/>
      <c r="K175" s="63"/>
      <c r="L175" s="63"/>
      <c r="M175" s="63"/>
      <c r="N175" s="63"/>
    </row>
    <row r="176" spans="2:14" ht="15" customHeight="1" outlineLevel="1">
      <c r="B176" s="18"/>
      <c r="C176" s="36"/>
      <c r="D176" s="30"/>
      <c r="E176" s="30"/>
      <c r="F176" s="30"/>
      <c r="G176" s="30"/>
      <c r="H176" s="30"/>
      <c r="I176" s="63"/>
      <c r="J176" s="63"/>
      <c r="K176" s="63"/>
      <c r="L176" s="63"/>
      <c r="M176" s="63"/>
      <c r="N176" s="113"/>
    </row>
    <row r="177" spans="2:14" ht="15" customHeight="1" outlineLevel="1">
      <c r="B177" s="217" t="s">
        <v>121</v>
      </c>
      <c r="C177" s="36"/>
      <c r="D177" s="30"/>
      <c r="E177" s="30"/>
      <c r="F177" s="113"/>
      <c r="G177" s="117"/>
      <c r="H177" s="112"/>
      <c r="I177" s="271">
        <f>I52</f>
        <v>5530.3997246666659</v>
      </c>
      <c r="J177" s="272">
        <f t="shared" ref="J177:M177" si="67">J52</f>
        <v>5805.4864841066692</v>
      </c>
      <c r="K177" s="272">
        <f t="shared" si="67"/>
        <v>6093.2844083674709</v>
      </c>
      <c r="L177" s="272">
        <f t="shared" si="67"/>
        <v>6388.0013760534093</v>
      </c>
      <c r="M177" s="273">
        <f t="shared" si="67"/>
        <v>6690.2750701774321</v>
      </c>
      <c r="N177" s="112"/>
    </row>
    <row r="178" spans="2:14" ht="15" customHeight="1" outlineLevel="1">
      <c r="B178" s="217" t="s">
        <v>122</v>
      </c>
      <c r="C178" s="36"/>
      <c r="D178" s="30"/>
      <c r="E178" s="30"/>
      <c r="F178" s="30"/>
      <c r="G178" s="30"/>
      <c r="H178" s="30"/>
      <c r="I178" s="274">
        <f>IF(I188&gt;0,1,0)</f>
        <v>1</v>
      </c>
      <c r="J178" s="275">
        <f>IF(J188&gt;0,1,0)</f>
        <v>1</v>
      </c>
      <c r="K178" s="275">
        <f>IF(K188&gt;0,1,0)</f>
        <v>1</v>
      </c>
      <c r="L178" s="275">
        <f>IF(L188&gt;0,1,0)</f>
        <v>1</v>
      </c>
      <c r="M178" s="276">
        <f>IF(M188&gt;0,1,0)</f>
        <v>1</v>
      </c>
      <c r="N178" s="277"/>
    </row>
    <row r="179" spans="2:14" ht="15" customHeight="1" outlineLevel="1">
      <c r="B179" s="18"/>
      <c r="C179" s="36"/>
      <c r="D179" s="30"/>
      <c r="E179" s="30"/>
      <c r="F179" s="30"/>
      <c r="G179" s="30"/>
      <c r="H179" s="30"/>
      <c r="I179" s="63"/>
      <c r="J179" s="63"/>
      <c r="K179" s="63"/>
      <c r="L179" s="63"/>
      <c r="M179" s="63"/>
      <c r="N179" s="113"/>
    </row>
    <row r="180" spans="2:14" ht="15" customHeight="1" outlineLevel="1">
      <c r="B180" s="107" t="s">
        <v>24</v>
      </c>
      <c r="C180" s="278"/>
      <c r="D180" s="279">
        <f>Inputs!L78</f>
        <v>0.17499999999999999</v>
      </c>
      <c r="E180" s="30"/>
      <c r="F180" s="30"/>
      <c r="G180" s="30"/>
      <c r="H180" s="30"/>
      <c r="I180" s="63"/>
      <c r="J180" s="63"/>
      <c r="K180" s="63"/>
      <c r="L180" s="63"/>
      <c r="M180" s="63"/>
      <c r="N180" s="113"/>
    </row>
    <row r="181" spans="2:14" ht="15" customHeight="1" outlineLevel="1">
      <c r="B181" s="280" t="s">
        <v>123</v>
      </c>
      <c r="C181" s="15"/>
      <c r="D181" s="281">
        <f>IF(M199=0,0,1)</f>
        <v>0</v>
      </c>
      <c r="E181" s="30"/>
      <c r="F181" s="112"/>
      <c r="G181" s="282"/>
      <c r="H181" s="112"/>
      <c r="I181" s="112"/>
      <c r="J181" s="112"/>
      <c r="K181" s="112"/>
      <c r="L181" s="112"/>
      <c r="M181" s="16"/>
      <c r="N181" s="16"/>
    </row>
    <row r="182" spans="2:14" ht="15" customHeight="1" outlineLevel="1">
      <c r="B182" s="18"/>
      <c r="C182" s="36"/>
      <c r="D182" s="283"/>
      <c r="E182" s="30"/>
      <c r="F182" s="30"/>
      <c r="G182" s="30"/>
      <c r="H182" s="30"/>
      <c r="I182" s="63"/>
      <c r="J182" s="63"/>
      <c r="K182" s="63"/>
      <c r="L182" s="63"/>
      <c r="M182" s="63"/>
      <c r="N182" s="113"/>
    </row>
    <row r="183" spans="2:14" ht="15" customHeight="1" outlineLevel="1">
      <c r="B183" s="18"/>
      <c r="C183" s="36"/>
      <c r="D183" s="283"/>
      <c r="E183" s="30"/>
      <c r="F183" s="30"/>
      <c r="G183" s="30"/>
      <c r="H183" s="30"/>
      <c r="I183" s="63"/>
      <c r="J183" s="63"/>
      <c r="K183" s="63"/>
      <c r="L183" s="63"/>
      <c r="M183" s="63"/>
      <c r="N183" s="113"/>
    </row>
    <row r="184" spans="2:14" ht="15" customHeight="1" outlineLevel="1">
      <c r="B184" s="189" t="s">
        <v>124</v>
      </c>
      <c r="C184" s="36"/>
      <c r="D184" s="30"/>
      <c r="E184" s="30"/>
      <c r="F184" s="30"/>
      <c r="G184" s="30"/>
      <c r="H184" s="30"/>
      <c r="I184" s="63"/>
      <c r="J184" s="63"/>
      <c r="K184" s="63"/>
      <c r="L184" s="63"/>
      <c r="M184" s="63"/>
      <c r="N184" s="113"/>
    </row>
    <row r="185" spans="2:14" ht="15" customHeight="1" outlineLevel="1">
      <c r="B185" s="177" t="s">
        <v>80</v>
      </c>
      <c r="C185" s="36"/>
      <c r="D185" s="30"/>
      <c r="E185" s="30"/>
      <c r="F185" s="30"/>
      <c r="G185" s="30"/>
      <c r="H185" s="112"/>
      <c r="I185" s="112">
        <f>I177</f>
        <v>5530.3997246666659</v>
      </c>
      <c r="J185" s="112">
        <f t="shared" ref="J185:M185" si="68">J177</f>
        <v>5805.4864841066692</v>
      </c>
      <c r="K185" s="112">
        <f t="shared" si="68"/>
        <v>6093.2844083674709</v>
      </c>
      <c r="L185" s="112">
        <f t="shared" si="68"/>
        <v>6388.0013760534093</v>
      </c>
      <c r="M185" s="112">
        <f t="shared" si="68"/>
        <v>6690.2750701774321</v>
      </c>
      <c r="N185" s="112"/>
    </row>
    <row r="186" spans="2:14" ht="15" customHeight="1" outlineLevel="1">
      <c r="B186" s="177" t="s">
        <v>125</v>
      </c>
      <c r="C186" s="36"/>
      <c r="D186" s="30"/>
      <c r="E186" s="30"/>
      <c r="F186" s="30"/>
      <c r="G186" s="30"/>
      <c r="H186" s="148"/>
      <c r="I186" s="284">
        <f>+I135</f>
        <v>645.27689533333341</v>
      </c>
      <c r="J186" s="284">
        <f t="shared" ref="J186:M186" si="69">+J135</f>
        <v>682.39043749333337</v>
      </c>
      <c r="K186" s="284">
        <f t="shared" si="69"/>
        <v>720.98856534453341</v>
      </c>
      <c r="L186" s="284">
        <f t="shared" si="69"/>
        <v>761.13623741363745</v>
      </c>
      <c r="M186" s="284">
        <f t="shared" si="69"/>
        <v>802.90140078134664</v>
      </c>
      <c r="N186" s="112"/>
    </row>
    <row r="187" spans="2:14" ht="15" customHeight="1" outlineLevel="1">
      <c r="B187" s="177" t="s">
        <v>126</v>
      </c>
      <c r="C187" s="36"/>
      <c r="D187" s="30"/>
      <c r="E187" s="30"/>
      <c r="F187" s="30"/>
      <c r="G187" s="30"/>
      <c r="H187" s="148"/>
      <c r="I187" s="267">
        <f>I164</f>
        <v>-1037.3662004999999</v>
      </c>
      <c r="J187" s="267">
        <f t="shared" ref="J187:M187" si="70">J164</f>
        <v>-1050.6732117525</v>
      </c>
      <c r="K187" s="267">
        <f t="shared" si="70"/>
        <v>-1069.4455709146125</v>
      </c>
      <c r="L187" s="267">
        <f t="shared" si="70"/>
        <v>-1093.0678743673516</v>
      </c>
      <c r="M187" s="267">
        <f t="shared" si="70"/>
        <v>-1121.0481040335389</v>
      </c>
      <c r="N187" s="112"/>
    </row>
    <row r="188" spans="2:14" ht="15" customHeight="1" outlineLevel="1">
      <c r="B188" s="177" t="s">
        <v>127</v>
      </c>
      <c r="C188" s="36"/>
      <c r="D188" s="30"/>
      <c r="E188" s="30"/>
      <c r="F188" s="30"/>
      <c r="G188" s="30"/>
      <c r="H188" s="112"/>
      <c r="I188" s="112">
        <f>SUM(I185:I187)</f>
        <v>5138.3104194999996</v>
      </c>
      <c r="J188" s="112">
        <f t="shared" ref="J188:M188" si="71">SUM(J185:J187)</f>
        <v>5437.203709847503</v>
      </c>
      <c r="K188" s="112">
        <f t="shared" si="71"/>
        <v>5744.8274027973921</v>
      </c>
      <c r="L188" s="112">
        <f t="shared" si="71"/>
        <v>6056.0697390996947</v>
      </c>
      <c r="M188" s="112">
        <f t="shared" si="71"/>
        <v>6372.1283669252398</v>
      </c>
      <c r="N188" s="112"/>
    </row>
    <row r="189" spans="2:14" ht="15" customHeight="1" outlineLevel="1">
      <c r="B189" s="18"/>
      <c r="C189" s="36"/>
      <c r="D189" s="30"/>
      <c r="E189" s="30"/>
      <c r="F189" s="30"/>
      <c r="G189" s="30"/>
      <c r="H189" s="148"/>
      <c r="I189" s="112"/>
      <c r="J189" s="112"/>
      <c r="K189" s="112"/>
      <c r="L189" s="112"/>
      <c r="M189" s="112"/>
      <c r="N189" s="112"/>
    </row>
    <row r="190" spans="2:14" ht="15" customHeight="1" outlineLevel="1">
      <c r="B190" s="202" t="s">
        <v>128</v>
      </c>
      <c r="C190" s="36"/>
      <c r="D190" s="30"/>
      <c r="E190" s="30"/>
      <c r="F190" s="30"/>
      <c r="G190" s="30"/>
      <c r="H190" s="148"/>
      <c r="I190" s="112"/>
      <c r="J190" s="112"/>
      <c r="K190" s="112"/>
      <c r="L190" s="112"/>
      <c r="M190" s="112"/>
      <c r="N190" s="112"/>
    </row>
    <row r="191" spans="2:14" ht="15" customHeight="1" outlineLevel="1">
      <c r="B191" s="177" t="s">
        <v>127</v>
      </c>
      <c r="C191" s="36"/>
      <c r="D191" s="30"/>
      <c r="E191" s="30"/>
      <c r="F191" s="30"/>
      <c r="G191" s="30"/>
      <c r="H191" s="112"/>
      <c r="I191" s="112">
        <f>I188</f>
        <v>5138.3104194999996</v>
      </c>
      <c r="J191" s="112">
        <f t="shared" ref="J191:M191" si="72">J188</f>
        <v>5437.203709847503</v>
      </c>
      <c r="K191" s="112">
        <f t="shared" si="72"/>
        <v>5744.8274027973921</v>
      </c>
      <c r="L191" s="112">
        <f t="shared" si="72"/>
        <v>6056.0697390996947</v>
      </c>
      <c r="M191" s="112">
        <f t="shared" si="72"/>
        <v>6372.1283669252398</v>
      </c>
      <c r="N191" s="112"/>
    </row>
    <row r="192" spans="2:14" ht="15" customHeight="1" outlineLevel="1">
      <c r="B192" s="285" t="s">
        <v>129</v>
      </c>
      <c r="C192" s="36"/>
      <c r="D192" s="30"/>
      <c r="E192" s="30"/>
      <c r="F192" s="30"/>
      <c r="G192" s="30"/>
      <c r="H192" s="148"/>
      <c r="I192" s="120">
        <f>I198</f>
        <v>-663</v>
      </c>
      <c r="J192" s="120">
        <f t="shared" ref="J192:M192" si="73">J198</f>
        <v>0</v>
      </c>
      <c r="K192" s="120">
        <f t="shared" si="73"/>
        <v>0</v>
      </c>
      <c r="L192" s="120">
        <f t="shared" si="73"/>
        <v>0</v>
      </c>
      <c r="M192" s="120">
        <f t="shared" si="73"/>
        <v>0</v>
      </c>
      <c r="N192" s="112"/>
    </row>
    <row r="193" spans="2:14" ht="15" customHeight="1" outlineLevel="1">
      <c r="B193" s="177" t="s">
        <v>130</v>
      </c>
      <c r="C193" s="36"/>
      <c r="D193" s="30"/>
      <c r="E193" s="30"/>
      <c r="F193" s="30"/>
      <c r="G193" s="30"/>
      <c r="H193" s="148"/>
      <c r="I193" s="112">
        <f>SUM(I191:I192)</f>
        <v>4475.3104194999996</v>
      </c>
      <c r="J193" s="112">
        <f t="shared" ref="J193:M193" si="74">SUM(J191:J192)</f>
        <v>5437.203709847503</v>
      </c>
      <c r="K193" s="112">
        <f t="shared" si="74"/>
        <v>5744.8274027973921</v>
      </c>
      <c r="L193" s="112">
        <f t="shared" si="74"/>
        <v>6056.0697390996947</v>
      </c>
      <c r="M193" s="112">
        <f t="shared" si="74"/>
        <v>6372.1283669252398</v>
      </c>
      <c r="N193" s="112"/>
    </row>
    <row r="194" spans="2:14" ht="15" customHeight="1" outlineLevel="1">
      <c r="B194" s="18"/>
      <c r="C194" s="36"/>
      <c r="D194" s="30"/>
      <c r="E194" s="30"/>
      <c r="F194" s="30"/>
      <c r="G194" s="30"/>
      <c r="H194" s="148"/>
      <c r="I194" s="148"/>
      <c r="J194" s="148"/>
      <c r="K194" s="148"/>
      <c r="L194" s="148"/>
      <c r="M194" s="148"/>
      <c r="N194" s="148"/>
    </row>
    <row r="195" spans="2:14" ht="15" customHeight="1" outlineLevel="1">
      <c r="B195" s="202" t="s">
        <v>131</v>
      </c>
      <c r="C195" s="36"/>
      <c r="D195" s="30"/>
      <c r="E195" s="30"/>
      <c r="F195" s="30"/>
      <c r="G195" s="30"/>
      <c r="H195" s="148"/>
      <c r="I195" s="148"/>
      <c r="J195" s="148"/>
      <c r="K195" s="148"/>
      <c r="L195" s="148"/>
      <c r="M195" s="148"/>
      <c r="N195" s="148"/>
    </row>
    <row r="196" spans="2:14" ht="15" customHeight="1" outlineLevel="1">
      <c r="B196" s="177" t="s">
        <v>114</v>
      </c>
      <c r="C196" s="36"/>
      <c r="D196" s="30"/>
      <c r="E196" s="30"/>
      <c r="F196" s="30"/>
      <c r="G196" s="30"/>
      <c r="H196" s="148"/>
      <c r="I196" s="112">
        <f>H199</f>
        <v>663</v>
      </c>
      <c r="J196" s="112">
        <f t="shared" ref="J196:M196" si="75">I199</f>
        <v>0</v>
      </c>
      <c r="K196" s="112">
        <f t="shared" si="75"/>
        <v>0</v>
      </c>
      <c r="L196" s="112">
        <f t="shared" si="75"/>
        <v>0</v>
      </c>
      <c r="M196" s="112">
        <f t="shared" si="75"/>
        <v>0</v>
      </c>
      <c r="N196" s="112"/>
    </row>
    <row r="197" spans="2:14" ht="15" customHeight="1" outlineLevel="1">
      <c r="B197" s="177" t="s">
        <v>132</v>
      </c>
      <c r="C197" s="36"/>
      <c r="D197" s="30"/>
      <c r="E197" s="30"/>
      <c r="F197" s="30"/>
      <c r="G197" s="30"/>
      <c r="H197" s="148"/>
      <c r="I197" s="112">
        <f>-MIN(I185,0)</f>
        <v>0</v>
      </c>
      <c r="J197" s="112">
        <f t="shared" ref="J197:M197" si="76">-MIN(J185,0)</f>
        <v>0</v>
      </c>
      <c r="K197" s="112">
        <f t="shared" si="76"/>
        <v>0</v>
      </c>
      <c r="L197" s="112">
        <f t="shared" si="76"/>
        <v>0</v>
      </c>
      <c r="M197" s="112">
        <f t="shared" si="76"/>
        <v>0</v>
      </c>
      <c r="N197" s="112"/>
    </row>
    <row r="198" spans="2:14" ht="15" customHeight="1" outlineLevel="1">
      <c r="B198" s="285" t="s">
        <v>133</v>
      </c>
      <c r="C198" s="36"/>
      <c r="D198" s="30"/>
      <c r="E198" s="30"/>
      <c r="F198" s="30"/>
      <c r="G198" s="30"/>
      <c r="H198" s="286"/>
      <c r="I198" s="120">
        <f>-MIN(I196,I191)*I178</f>
        <v>-663</v>
      </c>
      <c r="J198" s="120">
        <f t="shared" ref="J198:M198" si="77">-MIN(J196,J191)*J178</f>
        <v>0</v>
      </c>
      <c r="K198" s="120">
        <f t="shared" si="77"/>
        <v>0</v>
      </c>
      <c r="L198" s="120">
        <f t="shared" si="77"/>
        <v>0</v>
      </c>
      <c r="M198" s="120">
        <f t="shared" si="77"/>
        <v>0</v>
      </c>
      <c r="N198" s="112"/>
    </row>
    <row r="199" spans="2:14" ht="15" customHeight="1" outlineLevel="1">
      <c r="B199" s="177" t="s">
        <v>116</v>
      </c>
      <c r="C199" s="36"/>
      <c r="D199" s="113"/>
      <c r="E199" s="30"/>
      <c r="F199" s="30"/>
      <c r="G199" s="30"/>
      <c r="H199" s="132">
        <f>Inputs!L101</f>
        <v>663</v>
      </c>
      <c r="I199" s="112">
        <f>SUM(I196:I198)</f>
        <v>0</v>
      </c>
      <c r="J199" s="112">
        <f t="shared" ref="J199:M199" si="78">SUM(J196:J198)</f>
        <v>0</v>
      </c>
      <c r="K199" s="112">
        <f t="shared" si="78"/>
        <v>0</v>
      </c>
      <c r="L199" s="112">
        <f t="shared" si="78"/>
        <v>0</v>
      </c>
      <c r="M199" s="112">
        <f t="shared" si="78"/>
        <v>0</v>
      </c>
      <c r="N199" s="112"/>
    </row>
    <row r="200" spans="2:14" ht="15" customHeight="1" outlineLevel="1">
      <c r="B200" s="18"/>
      <c r="C200" s="36"/>
      <c r="D200" s="30"/>
      <c r="E200" s="30"/>
      <c r="F200" s="30"/>
      <c r="G200" s="30"/>
      <c r="H200" s="148"/>
      <c r="I200" s="148"/>
      <c r="J200" s="148"/>
      <c r="K200" s="148"/>
      <c r="L200" s="148"/>
      <c r="M200" s="148"/>
      <c r="N200" s="148"/>
    </row>
    <row r="201" spans="2:14" ht="15" customHeight="1" outlineLevel="1">
      <c r="B201" s="287"/>
      <c r="C201" s="288"/>
      <c r="D201" s="289"/>
      <c r="E201" s="289"/>
      <c r="F201" s="289"/>
      <c r="G201" s="289"/>
      <c r="H201" s="13"/>
      <c r="I201" s="13"/>
      <c r="J201" s="13"/>
      <c r="K201" s="13"/>
      <c r="L201" s="13"/>
      <c r="M201" s="13"/>
      <c r="N201" s="290"/>
    </row>
    <row r="202" spans="2:14" ht="15" customHeight="1" outlineLevel="1">
      <c r="B202" s="18"/>
      <c r="C202" s="36"/>
      <c r="D202" s="30"/>
      <c r="E202" s="30"/>
      <c r="F202" s="30"/>
      <c r="G202" s="30"/>
      <c r="H202" s="148"/>
      <c r="I202" s="148"/>
      <c r="J202" s="148"/>
      <c r="K202" s="148"/>
      <c r="L202" s="148"/>
      <c r="M202" s="148"/>
      <c r="N202" s="148"/>
    </row>
    <row r="203" spans="2:14" ht="15" customHeight="1" outlineLevel="1">
      <c r="B203" s="189" t="s">
        <v>134</v>
      </c>
      <c r="C203" s="36"/>
      <c r="D203" s="30"/>
      <c r="E203" s="30"/>
      <c r="F203" s="30"/>
      <c r="G203" s="30"/>
      <c r="H203" s="148"/>
      <c r="I203" s="148"/>
      <c r="J203" s="148"/>
      <c r="K203" s="148"/>
      <c r="L203" s="148"/>
      <c r="M203" s="148"/>
      <c r="N203" s="148"/>
    </row>
    <row r="204" spans="2:14" ht="15" customHeight="1" outlineLevel="1">
      <c r="B204" s="177" t="s">
        <v>135</v>
      </c>
      <c r="C204" s="36"/>
      <c r="D204" s="30"/>
      <c r="E204" s="30"/>
      <c r="F204" s="117"/>
      <c r="G204" s="117"/>
      <c r="H204" s="112"/>
      <c r="I204" s="112">
        <f>I193*$D$180</f>
        <v>783.17932341249991</v>
      </c>
      <c r="J204" s="112">
        <f t="shared" ref="J204:M204" si="79">J193*$D$180</f>
        <v>951.51064922331295</v>
      </c>
      <c r="K204" s="112">
        <f t="shared" si="79"/>
        <v>1005.3447954895436</v>
      </c>
      <c r="L204" s="112">
        <f t="shared" si="79"/>
        <v>1059.8122043424464</v>
      </c>
      <c r="M204" s="112">
        <f t="shared" si="79"/>
        <v>1115.1224642119168</v>
      </c>
      <c r="N204" s="112"/>
    </row>
    <row r="205" spans="2:14" ht="15" customHeight="1" outlineLevel="1">
      <c r="B205" s="177" t="s">
        <v>136</v>
      </c>
      <c r="C205" s="36"/>
      <c r="D205" s="30"/>
      <c r="E205" s="30"/>
      <c r="F205" s="30"/>
      <c r="G205" s="30"/>
      <c r="H205" s="148"/>
      <c r="I205" s="112">
        <f>I206-I204</f>
        <v>184.64062840416659</v>
      </c>
      <c r="J205" s="112">
        <f>J206-J204</f>
        <v>64.449485495354111</v>
      </c>
      <c r="K205" s="112">
        <f t="shared" ref="K205:M205" si="80">K206-K204</f>
        <v>60.979975974763761</v>
      </c>
      <c r="L205" s="112">
        <f t="shared" si="80"/>
        <v>58.088036466900121</v>
      </c>
      <c r="M205" s="112">
        <f t="shared" si="80"/>
        <v>55.675673069133609</v>
      </c>
      <c r="N205" s="112"/>
    </row>
    <row r="206" spans="2:14" ht="15" customHeight="1" outlineLevel="1" thickBot="1">
      <c r="B206" s="177" t="s">
        <v>137</v>
      </c>
      <c r="C206" s="36"/>
      <c r="D206" s="125"/>
      <c r="E206" s="30"/>
      <c r="F206" s="30"/>
      <c r="G206" s="30"/>
      <c r="H206" s="148"/>
      <c r="I206" s="134">
        <f>I185*$D$180</f>
        <v>967.8199518166665</v>
      </c>
      <c r="J206" s="134">
        <f t="shared" ref="J206:M206" si="81">J185*$D$180</f>
        <v>1015.9601347186671</v>
      </c>
      <c r="K206" s="134">
        <f t="shared" si="81"/>
        <v>1066.3247714643073</v>
      </c>
      <c r="L206" s="134">
        <f t="shared" si="81"/>
        <v>1117.9002408093465</v>
      </c>
      <c r="M206" s="134">
        <f t="shared" si="81"/>
        <v>1170.7981372810505</v>
      </c>
      <c r="N206" s="112"/>
    </row>
    <row r="207" spans="2:14" ht="15" customHeight="1" outlineLevel="1">
      <c r="B207" s="18"/>
      <c r="C207" s="36"/>
      <c r="D207" s="30"/>
      <c r="E207" s="30"/>
      <c r="F207" s="30"/>
      <c r="G207" s="30"/>
      <c r="H207" s="30"/>
      <c r="I207" s="63"/>
      <c r="J207" s="63"/>
      <c r="K207" s="63"/>
      <c r="L207" s="63"/>
      <c r="M207" s="63"/>
      <c r="N207" s="113"/>
    </row>
    <row r="208" spans="2:14" ht="15" customHeight="1" outlineLevel="1">
      <c r="B208" s="147"/>
      <c r="C208" s="147"/>
      <c r="D208" s="44"/>
      <c r="E208" s="44"/>
      <c r="F208" s="291"/>
      <c r="G208" s="291"/>
      <c r="H208" s="291"/>
      <c r="I208" s="292"/>
      <c r="J208" s="292"/>
      <c r="K208" s="292"/>
      <c r="L208" s="292"/>
      <c r="M208" s="293"/>
      <c r="N208" s="293"/>
    </row>
    <row r="209" spans="2:14" ht="15" customHeight="1" outlineLevel="1">
      <c r="B209" s="113"/>
      <c r="C209" s="36"/>
      <c r="D209" s="30"/>
      <c r="E209" s="30"/>
      <c r="F209" s="30"/>
      <c r="G209" s="30"/>
      <c r="H209" s="30"/>
      <c r="I209" s="63"/>
      <c r="J209" s="63"/>
      <c r="K209" s="63"/>
      <c r="L209" s="63"/>
      <c r="M209" s="195" t="s">
        <v>138</v>
      </c>
      <c r="N209" s="113"/>
    </row>
    <row r="210" spans="2:14" ht="15" customHeight="1" outlineLevel="1">
      <c r="B210" s="113"/>
      <c r="C210" s="36"/>
      <c r="D210" s="30"/>
      <c r="E210" s="30"/>
      <c r="F210" s="30"/>
      <c r="G210" s="30"/>
      <c r="H210" s="30"/>
      <c r="I210" s="63"/>
      <c r="J210" s="63"/>
      <c r="K210" s="63"/>
      <c r="L210" s="63"/>
      <c r="M210" s="257" t="s">
        <v>139</v>
      </c>
      <c r="N210" s="113"/>
    </row>
    <row r="211" spans="2:14" ht="15" customHeight="1" outlineLevel="1">
      <c r="B211" s="113"/>
      <c r="C211" s="36"/>
      <c r="D211" s="30"/>
      <c r="E211" s="30"/>
      <c r="F211" s="30"/>
      <c r="G211" s="30"/>
      <c r="H211" s="30"/>
      <c r="I211" s="63"/>
      <c r="J211" s="63"/>
      <c r="K211" s="63"/>
      <c r="L211" s="63"/>
      <c r="M211" s="294"/>
      <c r="N211" s="113"/>
    </row>
    <row r="212" spans="2:14" ht="15" customHeight="1" outlineLevel="1">
      <c r="B212" s="221"/>
      <c r="C212" s="15"/>
      <c r="D212" s="119"/>
      <c r="E212" s="119"/>
      <c r="F212" s="119"/>
      <c r="G212" s="119"/>
      <c r="H212" s="119"/>
      <c r="I212" s="222"/>
      <c r="J212" s="222"/>
      <c r="K212" s="222"/>
      <c r="L212" s="222"/>
      <c r="M212" s="222"/>
      <c r="N212" s="222"/>
    </row>
    <row r="213" spans="2:14" ht="15" customHeight="1">
      <c r="B213" s="18"/>
      <c r="C213" s="36"/>
      <c r="D213" s="30"/>
      <c r="E213" s="30"/>
      <c r="F213" s="30"/>
      <c r="G213" s="30"/>
      <c r="H213" s="30"/>
      <c r="I213" s="63"/>
      <c r="J213" s="63"/>
      <c r="K213" s="63"/>
      <c r="L213" s="63"/>
      <c r="M213" s="63"/>
      <c r="N213" s="63"/>
    </row>
    <row r="214" spans="2:14" ht="15" customHeight="1">
      <c r="B214" s="56" t="s">
        <v>140</v>
      </c>
      <c r="C214" s="57"/>
      <c r="D214" s="168"/>
      <c r="E214" s="168"/>
      <c r="F214" s="59"/>
      <c r="G214" s="59"/>
      <c r="H214" s="59"/>
      <c r="I214" s="169"/>
      <c r="J214" s="170"/>
      <c r="K214" s="170"/>
      <c r="L214" s="170"/>
      <c r="M214" s="170"/>
      <c r="N214" s="102"/>
    </row>
    <row r="215" spans="2:14" ht="15" customHeight="1" outlineLevel="1">
      <c r="B215" s="126"/>
      <c r="C215" s="36"/>
      <c r="D215" s="103"/>
      <c r="E215" s="103"/>
      <c r="F215" s="104"/>
      <c r="G215" s="104"/>
      <c r="H215" s="104"/>
      <c r="I215" s="104"/>
      <c r="J215" s="104"/>
      <c r="K215" s="104"/>
      <c r="L215" s="104"/>
      <c r="M215" s="104"/>
      <c r="N215" s="113"/>
    </row>
    <row r="216" spans="2:14" ht="15" customHeight="1" outlineLevel="1" thickBot="1">
      <c r="B216" s="18" t="s">
        <v>39</v>
      </c>
      <c r="C216" s="36"/>
      <c r="D216" s="30"/>
      <c r="E216" s="30"/>
      <c r="F216" s="30"/>
      <c r="G216" s="30"/>
      <c r="H216" s="105">
        <f>H174</f>
        <v>2025</v>
      </c>
      <c r="I216" s="106">
        <f t="shared" ref="I216:M216" si="82">I174</f>
        <v>2026</v>
      </c>
      <c r="J216" s="106">
        <f t="shared" si="82"/>
        <v>2027</v>
      </c>
      <c r="K216" s="106">
        <f t="shared" si="82"/>
        <v>2028</v>
      </c>
      <c r="L216" s="106">
        <f t="shared" si="82"/>
        <v>2029</v>
      </c>
      <c r="M216" s="106">
        <f t="shared" si="82"/>
        <v>2030</v>
      </c>
      <c r="N216" s="63"/>
    </row>
    <row r="217" spans="2:14" ht="15" customHeight="1" outlineLevel="1">
      <c r="B217" s="18" t="str" cm="1">
        <f t="array" ref="B217">CONCATENATE("Model Running: ",INDEX(Inputs!$B$12:$B$14,Inputs!$D$7)," Drivers")</f>
        <v>Model Running: Base Case Drivers</v>
      </c>
      <c r="C217" s="36"/>
      <c r="D217" s="30"/>
      <c r="E217" s="30"/>
      <c r="F217" s="30"/>
      <c r="G217" s="30"/>
      <c r="H217" s="30"/>
      <c r="I217" s="63"/>
      <c r="J217" s="63"/>
      <c r="K217" s="63"/>
      <c r="L217" s="63"/>
      <c r="M217" s="63"/>
      <c r="N217" s="63"/>
    </row>
    <row r="218" spans="2:14" ht="15" customHeight="1" outlineLevel="1">
      <c r="B218" s="18"/>
      <c r="C218" s="36"/>
      <c r="D218" s="30"/>
      <c r="E218" s="30"/>
      <c r="F218" s="30"/>
      <c r="G218" s="30"/>
      <c r="H218" s="30"/>
      <c r="I218" s="63"/>
      <c r="J218" s="63"/>
      <c r="K218" s="63"/>
      <c r="L218" s="63"/>
      <c r="M218" s="63"/>
      <c r="N218" s="113"/>
    </row>
    <row r="219" spans="2:14" ht="15" customHeight="1" outlineLevel="1">
      <c r="B219" s="217" t="s">
        <v>141</v>
      </c>
      <c r="C219" s="36"/>
      <c r="D219" s="30"/>
      <c r="E219" s="30"/>
      <c r="F219" s="117"/>
      <c r="G219" s="117"/>
      <c r="H219" s="112"/>
      <c r="I219" s="271">
        <f>I49</f>
        <v>5780.3997246666659</v>
      </c>
      <c r="J219" s="272">
        <f t="shared" ref="J219:M219" si="83">J49</f>
        <v>6055.4864841066692</v>
      </c>
      <c r="K219" s="272">
        <f t="shared" si="83"/>
        <v>6343.2844083674709</v>
      </c>
      <c r="L219" s="272">
        <f t="shared" si="83"/>
        <v>6638.0013760534093</v>
      </c>
      <c r="M219" s="273">
        <f t="shared" si="83"/>
        <v>6940.2750701774321</v>
      </c>
      <c r="N219" s="112"/>
    </row>
    <row r="220" spans="2:14" ht="15" customHeight="1" outlineLevel="1">
      <c r="B220" s="217" t="s">
        <v>122</v>
      </c>
      <c r="C220" s="36"/>
      <c r="D220" s="30"/>
      <c r="E220" s="30"/>
      <c r="F220" s="30"/>
      <c r="G220" s="30"/>
      <c r="H220" s="30"/>
      <c r="I220" s="274">
        <f>IF(I230&gt;0,1,0)</f>
        <v>1</v>
      </c>
      <c r="J220" s="275">
        <f>IF(J230&gt;0,1,0)</f>
        <v>1</v>
      </c>
      <c r="K220" s="275">
        <f>IF(K230&gt;0,1,0)</f>
        <v>1</v>
      </c>
      <c r="L220" s="275">
        <f>IF(L230&gt;0,1,0)</f>
        <v>1</v>
      </c>
      <c r="M220" s="276">
        <f>IF(M230&gt;0,1,0)</f>
        <v>1</v>
      </c>
      <c r="N220" s="277"/>
    </row>
    <row r="221" spans="2:14" ht="15" customHeight="1" outlineLevel="1">
      <c r="B221" s="18"/>
      <c r="C221" s="36"/>
      <c r="D221" s="30"/>
      <c r="E221" s="30"/>
      <c r="F221" s="30"/>
      <c r="G221" s="30"/>
      <c r="H221" s="30"/>
      <c r="I221" s="63"/>
      <c r="J221" s="63"/>
      <c r="K221" s="63"/>
      <c r="L221" s="63"/>
      <c r="M221" s="63"/>
      <c r="N221" s="113"/>
    </row>
    <row r="222" spans="2:14" ht="15" customHeight="1" outlineLevel="1">
      <c r="B222" s="107" t="s">
        <v>24</v>
      </c>
      <c r="C222" s="278"/>
      <c r="D222" s="279">
        <f>D180</f>
        <v>0.17499999999999999</v>
      </c>
      <c r="E222" s="30"/>
      <c r="F222" s="30"/>
      <c r="G222" s="30"/>
      <c r="H222" s="30"/>
      <c r="I222" s="63"/>
      <c r="J222" s="63"/>
      <c r="K222" s="63"/>
      <c r="L222" s="63"/>
      <c r="M222" s="63"/>
      <c r="N222" s="113"/>
    </row>
    <row r="223" spans="2:14" ht="15" customHeight="1" outlineLevel="1">
      <c r="B223" s="280" t="s">
        <v>123</v>
      </c>
      <c r="C223" s="15"/>
      <c r="D223" s="281">
        <f>IF(M241=0,0,1)</f>
        <v>0</v>
      </c>
      <c r="E223" s="30"/>
      <c r="F223" s="112"/>
      <c r="G223" s="112"/>
      <c r="H223" s="112"/>
      <c r="I223" s="112"/>
      <c r="J223" s="112"/>
      <c r="K223" s="112"/>
      <c r="L223" s="112"/>
      <c r="M223" s="16"/>
      <c r="N223" s="16"/>
    </row>
    <row r="224" spans="2:14" ht="15" customHeight="1" outlineLevel="1">
      <c r="B224" s="18"/>
      <c r="C224" s="36"/>
      <c r="D224" s="283"/>
      <c r="E224" s="30"/>
      <c r="F224" s="30"/>
      <c r="G224" s="30"/>
      <c r="H224" s="30"/>
      <c r="I224" s="63"/>
      <c r="J224" s="63"/>
      <c r="K224" s="63"/>
      <c r="L224" s="63"/>
      <c r="M224" s="63"/>
      <c r="N224" s="113"/>
    </row>
    <row r="225" spans="2:14" ht="15" customHeight="1" outlineLevel="1">
      <c r="B225" s="18"/>
      <c r="C225" s="36"/>
      <c r="D225" s="283"/>
      <c r="E225" s="30"/>
      <c r="F225" s="30"/>
      <c r="G225" s="30"/>
      <c r="H225" s="30"/>
      <c r="I225" s="63"/>
      <c r="J225" s="63"/>
      <c r="K225" s="63"/>
      <c r="L225" s="63"/>
      <c r="M225" s="63"/>
      <c r="N225" s="113"/>
    </row>
    <row r="226" spans="2:14" ht="15" customHeight="1" outlineLevel="1">
      <c r="B226" s="189" t="s">
        <v>124</v>
      </c>
      <c r="C226" s="36"/>
      <c r="D226" s="30"/>
      <c r="E226" s="30"/>
      <c r="F226" s="30"/>
      <c r="G226" s="30"/>
      <c r="H226" s="148"/>
      <c r="I226" s="148"/>
      <c r="J226" s="148"/>
      <c r="K226" s="148"/>
      <c r="L226" s="148"/>
      <c r="M226" s="148"/>
      <c r="N226" s="113"/>
    </row>
    <row r="227" spans="2:14" ht="15" customHeight="1" outlineLevel="1">
      <c r="B227" s="177" t="s">
        <v>78</v>
      </c>
      <c r="C227" s="36"/>
      <c r="D227" s="30"/>
      <c r="E227" s="30"/>
      <c r="F227" s="117"/>
      <c r="G227" s="117"/>
      <c r="H227" s="112"/>
      <c r="I227" s="112">
        <f>I219</f>
        <v>5780.3997246666659</v>
      </c>
      <c r="J227" s="112">
        <f>J219</f>
        <v>6055.4864841066692</v>
      </c>
      <c r="K227" s="112">
        <f>K219</f>
        <v>6343.2844083674709</v>
      </c>
      <c r="L227" s="112">
        <f>L219</f>
        <v>6638.0013760534093</v>
      </c>
      <c r="M227" s="112">
        <f>M219</f>
        <v>6940.2750701774321</v>
      </c>
      <c r="N227" s="112"/>
    </row>
    <row r="228" spans="2:14" ht="15" customHeight="1" outlineLevel="1">
      <c r="B228" s="177" t="s">
        <v>125</v>
      </c>
      <c r="C228" s="36"/>
      <c r="D228" s="30"/>
      <c r="E228" s="30"/>
      <c r="F228" s="30"/>
      <c r="G228" s="30"/>
      <c r="H228" s="148"/>
      <c r="I228" s="284">
        <f>-I157</f>
        <v>645.27689533333341</v>
      </c>
      <c r="J228" s="284">
        <f>-J157</f>
        <v>682.39043749333337</v>
      </c>
      <c r="K228" s="284">
        <f>-K157</f>
        <v>720.98856534453341</v>
      </c>
      <c r="L228" s="284">
        <f>-L157</f>
        <v>761.13623741363745</v>
      </c>
      <c r="M228" s="284">
        <f>-M157</f>
        <v>802.90140078134664</v>
      </c>
      <c r="N228" s="112"/>
    </row>
    <row r="229" spans="2:14" ht="15" customHeight="1" outlineLevel="1">
      <c r="B229" s="177" t="s">
        <v>126</v>
      </c>
      <c r="C229" s="36"/>
      <c r="D229" s="30"/>
      <c r="E229" s="30"/>
      <c r="F229" s="30"/>
      <c r="G229" s="30"/>
      <c r="H229" s="148"/>
      <c r="I229" s="267">
        <f>I164</f>
        <v>-1037.3662004999999</v>
      </c>
      <c r="J229" s="267">
        <f>J164</f>
        <v>-1050.6732117525</v>
      </c>
      <c r="K229" s="267">
        <f>K164</f>
        <v>-1069.4455709146125</v>
      </c>
      <c r="L229" s="267">
        <f>L164</f>
        <v>-1093.0678743673516</v>
      </c>
      <c r="M229" s="267">
        <f>M164</f>
        <v>-1121.0481040335389</v>
      </c>
      <c r="N229" s="112"/>
    </row>
    <row r="230" spans="2:14" ht="15" customHeight="1" outlineLevel="1">
      <c r="B230" s="177" t="s">
        <v>142</v>
      </c>
      <c r="C230" s="36"/>
      <c r="D230" s="30"/>
      <c r="E230" s="30"/>
      <c r="F230" s="117"/>
      <c r="G230" s="117"/>
      <c r="H230" s="112"/>
      <c r="I230" s="112">
        <f>SUM(I227:I229)</f>
        <v>5388.3104194999996</v>
      </c>
      <c r="J230" s="112">
        <f>SUM(J227:J229)</f>
        <v>5687.203709847503</v>
      </c>
      <c r="K230" s="112">
        <f>SUM(K227:K229)</f>
        <v>5994.8274027973921</v>
      </c>
      <c r="L230" s="112">
        <f>SUM(L227:L229)</f>
        <v>6306.0697390996947</v>
      </c>
      <c r="M230" s="112">
        <f>SUM(M227:M229)</f>
        <v>6622.1283669252398</v>
      </c>
      <c r="N230" s="112"/>
    </row>
    <row r="231" spans="2:14" ht="15" customHeight="1" outlineLevel="1">
      <c r="B231" s="18"/>
      <c r="C231" s="36"/>
      <c r="D231" s="30"/>
      <c r="E231" s="30"/>
      <c r="F231" s="30"/>
      <c r="G231" s="30"/>
      <c r="H231" s="148"/>
      <c r="I231" s="112"/>
      <c r="J231" s="112"/>
      <c r="K231" s="112"/>
      <c r="L231" s="112"/>
      <c r="M231" s="112"/>
      <c r="N231" s="112"/>
    </row>
    <row r="232" spans="2:14" ht="15" customHeight="1" outlineLevel="1">
      <c r="B232" s="202" t="s">
        <v>128</v>
      </c>
      <c r="C232" s="36"/>
      <c r="D232" s="30"/>
      <c r="E232" s="30"/>
      <c r="F232" s="30"/>
      <c r="G232" s="30"/>
      <c r="H232" s="148"/>
      <c r="I232" s="112"/>
      <c r="J232" s="112"/>
      <c r="K232" s="112"/>
      <c r="L232" s="112"/>
      <c r="M232" s="112"/>
      <c r="N232" s="112"/>
    </row>
    <row r="233" spans="2:14" ht="15" customHeight="1" outlineLevel="1">
      <c r="B233" s="177" t="s">
        <v>142</v>
      </c>
      <c r="C233" s="36"/>
      <c r="D233" s="30"/>
      <c r="E233" s="30"/>
      <c r="F233" s="117"/>
      <c r="G233" s="117"/>
      <c r="H233" s="112"/>
      <c r="I233" s="112">
        <f>I230</f>
        <v>5388.3104194999996</v>
      </c>
      <c r="J233" s="112">
        <f>J230</f>
        <v>5687.203709847503</v>
      </c>
      <c r="K233" s="112">
        <f>K230</f>
        <v>5994.8274027973921</v>
      </c>
      <c r="L233" s="112">
        <f>L230</f>
        <v>6306.0697390996947</v>
      </c>
      <c r="M233" s="112">
        <f>M230</f>
        <v>6622.1283669252398</v>
      </c>
      <c r="N233" s="112"/>
    </row>
    <row r="234" spans="2:14" ht="15" customHeight="1" outlineLevel="1">
      <c r="B234" s="285" t="s">
        <v>129</v>
      </c>
      <c r="C234" s="36"/>
      <c r="D234" s="30"/>
      <c r="E234" s="30"/>
      <c r="F234" s="30"/>
      <c r="G234" s="30"/>
      <c r="H234" s="148"/>
      <c r="I234" s="120">
        <f>I240</f>
        <v>-663</v>
      </c>
      <c r="J234" s="120">
        <f>J240</f>
        <v>0</v>
      </c>
      <c r="K234" s="120">
        <f>K240</f>
        <v>0</v>
      </c>
      <c r="L234" s="120">
        <f>L240</f>
        <v>0</v>
      </c>
      <c r="M234" s="120">
        <f>M240</f>
        <v>0</v>
      </c>
      <c r="N234" s="112"/>
    </row>
    <row r="235" spans="2:14" ht="15" customHeight="1" outlineLevel="1">
      <c r="B235" s="177" t="s">
        <v>130</v>
      </c>
      <c r="C235" s="36"/>
      <c r="D235" s="30"/>
      <c r="E235" s="30"/>
      <c r="F235" s="30"/>
      <c r="G235" s="30"/>
      <c r="H235" s="148"/>
      <c r="I235" s="112">
        <f xml:space="preserve"> MAX(SUM(I233:I234),0)</f>
        <v>4725.3104194999996</v>
      </c>
      <c r="J235" s="112">
        <f xml:space="preserve"> MAX(SUM(J233:J234),0)</f>
        <v>5687.203709847503</v>
      </c>
      <c r="K235" s="112">
        <f xml:space="preserve"> MAX(SUM(K233:K234),0)</f>
        <v>5994.8274027973921</v>
      </c>
      <c r="L235" s="112">
        <f xml:space="preserve"> MAX(SUM(L233:L234),0)</f>
        <v>6306.0697390996947</v>
      </c>
      <c r="M235" s="112">
        <f xml:space="preserve"> MAX(SUM(M233:M234),0)</f>
        <v>6622.1283669252398</v>
      </c>
      <c r="N235" s="112"/>
    </row>
    <row r="236" spans="2:14" ht="15" customHeight="1" outlineLevel="1">
      <c r="B236" s="18"/>
      <c r="C236" s="36"/>
      <c r="D236" s="30"/>
      <c r="E236" s="30"/>
      <c r="F236" s="30"/>
      <c r="G236" s="30"/>
      <c r="H236" s="148"/>
      <c r="I236" s="148"/>
      <c r="J236" s="148"/>
      <c r="K236" s="148"/>
      <c r="L236" s="148"/>
      <c r="M236" s="148"/>
      <c r="N236" s="148"/>
    </row>
    <row r="237" spans="2:14" ht="15" customHeight="1" outlineLevel="1">
      <c r="B237" s="189" t="s">
        <v>131</v>
      </c>
      <c r="C237" s="36"/>
      <c r="D237" s="30"/>
      <c r="E237" s="30"/>
      <c r="F237" s="30"/>
      <c r="G237" s="30"/>
      <c r="H237" s="148"/>
      <c r="I237" s="148"/>
      <c r="J237" s="148"/>
      <c r="K237" s="148"/>
      <c r="L237" s="148"/>
      <c r="M237" s="148"/>
      <c r="N237" s="148"/>
    </row>
    <row r="238" spans="2:14" ht="15" customHeight="1" outlineLevel="1">
      <c r="B238" s="177" t="s">
        <v>114</v>
      </c>
      <c r="C238" s="36"/>
      <c r="D238" s="30"/>
      <c r="E238" s="30"/>
      <c r="F238" s="30"/>
      <c r="G238" s="30"/>
      <c r="H238" s="148"/>
      <c r="I238" s="112">
        <f>H241</f>
        <v>663</v>
      </c>
      <c r="J238" s="112">
        <f>I241</f>
        <v>0</v>
      </c>
      <c r="K238" s="112">
        <f>J241</f>
        <v>0</v>
      </c>
      <c r="L238" s="112">
        <f>K241</f>
        <v>0</v>
      </c>
      <c r="M238" s="112">
        <f>L241</f>
        <v>0</v>
      </c>
      <c r="N238" s="112"/>
    </row>
    <row r="239" spans="2:14" ht="15" customHeight="1" outlineLevel="1">
      <c r="B239" s="177" t="s">
        <v>132</v>
      </c>
      <c r="C239" s="36"/>
      <c r="D239" s="30"/>
      <c r="E239" s="30"/>
      <c r="F239" s="30"/>
      <c r="G239" s="30"/>
      <c r="H239" s="148"/>
      <c r="I239" s="112">
        <f>-MIN(I227,0)</f>
        <v>0</v>
      </c>
      <c r="J239" s="112">
        <f>-MIN(J227,0)</f>
        <v>0</v>
      </c>
      <c r="K239" s="112">
        <f>-MIN(K227,0)</f>
        <v>0</v>
      </c>
      <c r="L239" s="112">
        <f>-MIN(L227,0)</f>
        <v>0</v>
      </c>
      <c r="M239" s="112">
        <f>-MIN(M227,0)</f>
        <v>0</v>
      </c>
      <c r="N239" s="112"/>
    </row>
    <row r="240" spans="2:14" ht="15" customHeight="1" outlineLevel="1">
      <c r="B240" s="177" t="s">
        <v>133</v>
      </c>
      <c r="C240" s="36"/>
      <c r="D240" s="30"/>
      <c r="E240" s="30"/>
      <c r="F240" s="30"/>
      <c r="G240" s="30"/>
      <c r="H240" s="286"/>
      <c r="I240" s="120">
        <f>-MIN(I238,I233)*I220</f>
        <v>-663</v>
      </c>
      <c r="J240" s="120">
        <f>-MIN(J238,J233)*J220</f>
        <v>0</v>
      </c>
      <c r="K240" s="120">
        <f>-MIN(K238,K233)*K220</f>
        <v>0</v>
      </c>
      <c r="L240" s="120">
        <f>-MIN(L238,L233)*L220</f>
        <v>0</v>
      </c>
      <c r="M240" s="120">
        <f>-MIN(M238,M233)*M220</f>
        <v>0</v>
      </c>
      <c r="N240" s="112"/>
    </row>
    <row r="241" spans="2:14" ht="15" customHeight="1" outlineLevel="1">
      <c r="B241" s="177" t="s">
        <v>116</v>
      </c>
      <c r="C241" s="36"/>
      <c r="D241" s="30"/>
      <c r="E241" s="30"/>
      <c r="F241" s="30"/>
      <c r="G241" s="30"/>
      <c r="H241" s="112">
        <f>H199</f>
        <v>663</v>
      </c>
      <c r="I241" s="112">
        <f>SUM(I238:I240)</f>
        <v>0</v>
      </c>
      <c r="J241" s="112">
        <f>SUM(J238:J240)</f>
        <v>0</v>
      </c>
      <c r="K241" s="112">
        <f>SUM(K238:K240)</f>
        <v>0</v>
      </c>
      <c r="L241" s="112">
        <f>SUM(L238:L240)</f>
        <v>0</v>
      </c>
      <c r="M241" s="112">
        <f>SUM(M238:M240)</f>
        <v>0</v>
      </c>
      <c r="N241" s="112"/>
    </row>
    <row r="242" spans="2:14" ht="15" customHeight="1" outlineLevel="1">
      <c r="B242" s="18"/>
      <c r="C242" s="36"/>
      <c r="D242" s="30"/>
      <c r="E242" s="30"/>
      <c r="F242" s="30"/>
      <c r="G242" s="30"/>
      <c r="H242" s="148"/>
      <c r="I242" s="148"/>
      <c r="J242" s="148"/>
      <c r="K242" s="148"/>
      <c r="L242" s="148"/>
      <c r="M242" s="148"/>
      <c r="N242" s="148"/>
    </row>
    <row r="243" spans="2:14" ht="15" customHeight="1" outlineLevel="1">
      <c r="B243" s="287"/>
      <c r="C243" s="288"/>
      <c r="D243" s="289"/>
      <c r="E243" s="289"/>
      <c r="F243" s="289"/>
      <c r="G243" s="289"/>
      <c r="H243" s="13"/>
      <c r="I243" s="13"/>
      <c r="J243" s="13"/>
      <c r="K243" s="13"/>
      <c r="L243" s="13"/>
      <c r="M243" s="13"/>
      <c r="N243" s="290"/>
    </row>
    <row r="244" spans="2:14" ht="15" customHeight="1" outlineLevel="1">
      <c r="B244" s="18"/>
      <c r="C244" s="36"/>
      <c r="D244" s="30"/>
      <c r="E244" s="30"/>
      <c r="F244" s="30"/>
      <c r="G244" s="30"/>
      <c r="H244" s="148"/>
      <c r="I244" s="148"/>
      <c r="J244" s="148"/>
      <c r="K244" s="148"/>
      <c r="L244" s="148"/>
      <c r="M244" s="148"/>
      <c r="N244" s="148"/>
    </row>
    <row r="245" spans="2:14" ht="15" customHeight="1" outlineLevel="1">
      <c r="B245" s="189" t="s">
        <v>134</v>
      </c>
      <c r="C245" s="36"/>
      <c r="D245" s="30"/>
      <c r="E245" s="30"/>
      <c r="F245" s="30"/>
      <c r="G245" s="30"/>
      <c r="H245" s="148"/>
      <c r="I245" s="148"/>
      <c r="J245" s="148"/>
      <c r="K245" s="148"/>
      <c r="L245" s="148"/>
      <c r="M245" s="148"/>
      <c r="N245" s="148"/>
    </row>
    <row r="246" spans="2:14" ht="15" customHeight="1" outlineLevel="1">
      <c r="B246" s="177" t="s">
        <v>135</v>
      </c>
      <c r="C246" s="36"/>
      <c r="D246" s="30"/>
      <c r="E246" s="30"/>
      <c r="F246" s="117"/>
      <c r="G246" s="117"/>
      <c r="H246" s="112"/>
      <c r="I246" s="112">
        <f>I235*$D$222</f>
        <v>826.92932341249991</v>
      </c>
      <c r="J246" s="112">
        <f t="shared" ref="J246:M246" si="84">J235*$D$222</f>
        <v>995.26064922331295</v>
      </c>
      <c r="K246" s="112">
        <f t="shared" si="84"/>
        <v>1049.0947954895435</v>
      </c>
      <c r="L246" s="112">
        <f t="shared" si="84"/>
        <v>1103.5622043424464</v>
      </c>
      <c r="M246" s="112">
        <f t="shared" si="84"/>
        <v>1158.8724642119168</v>
      </c>
      <c r="N246" s="112"/>
    </row>
    <row r="247" spans="2:14" ht="15" customHeight="1" outlineLevel="1">
      <c r="B247" s="177" t="s">
        <v>136</v>
      </c>
      <c r="C247" s="36"/>
      <c r="D247" s="30"/>
      <c r="E247" s="30"/>
      <c r="F247" s="30"/>
      <c r="G247" s="30"/>
      <c r="H247" s="148"/>
      <c r="I247" s="112">
        <f>I248-I246</f>
        <v>184.64062840416659</v>
      </c>
      <c r="J247" s="112">
        <f t="shared" ref="J247:M247" si="85">J248-J246</f>
        <v>64.449485495353997</v>
      </c>
      <c r="K247" s="112">
        <f t="shared" si="85"/>
        <v>60.979975974763875</v>
      </c>
      <c r="L247" s="112">
        <f t="shared" si="85"/>
        <v>58.088036466900121</v>
      </c>
      <c r="M247" s="112">
        <f t="shared" si="85"/>
        <v>55.675673069133609</v>
      </c>
      <c r="N247" s="112"/>
    </row>
    <row r="248" spans="2:14" ht="15" customHeight="1" outlineLevel="1" thickBot="1">
      <c r="B248" s="177" t="s">
        <v>137</v>
      </c>
      <c r="C248" s="36"/>
      <c r="D248" s="125"/>
      <c r="E248" s="30"/>
      <c r="F248" s="30"/>
      <c r="G248" s="30"/>
      <c r="H248" s="148"/>
      <c r="I248" s="134">
        <f>MAX($D$222*I227,0)</f>
        <v>1011.5699518166665</v>
      </c>
      <c r="J248" s="134">
        <f t="shared" ref="J248:M248" si="86">MAX($D$222*J227,0)</f>
        <v>1059.7101347186669</v>
      </c>
      <c r="K248" s="134">
        <f t="shared" si="86"/>
        <v>1110.0747714643073</v>
      </c>
      <c r="L248" s="134">
        <f t="shared" si="86"/>
        <v>1161.6502408093465</v>
      </c>
      <c r="M248" s="134">
        <f t="shared" si="86"/>
        <v>1214.5481372810505</v>
      </c>
      <c r="N248" s="112"/>
    </row>
    <row r="249" spans="2:14" ht="15" customHeight="1" outlineLevel="1">
      <c r="B249" s="18"/>
      <c r="C249" s="36"/>
      <c r="D249" s="30"/>
      <c r="E249" s="30"/>
      <c r="F249" s="30"/>
      <c r="G249" s="30"/>
      <c r="H249" s="30"/>
      <c r="I249" s="63"/>
      <c r="J249" s="63"/>
      <c r="K249" s="63"/>
      <c r="L249" s="63"/>
      <c r="M249" s="63"/>
      <c r="N249" s="113"/>
    </row>
    <row r="250" spans="2:14" ht="15" customHeight="1" outlineLevel="1">
      <c r="B250" s="18"/>
      <c r="C250" s="36"/>
      <c r="D250" s="30"/>
      <c r="E250" s="30"/>
      <c r="F250" s="30"/>
      <c r="G250" s="30"/>
      <c r="H250" s="30"/>
      <c r="I250" s="63"/>
      <c r="J250" s="63"/>
      <c r="K250" s="63"/>
      <c r="L250" s="63"/>
      <c r="M250" s="63"/>
      <c r="N250" s="113"/>
    </row>
    <row r="251" spans="2:14" ht="15" customHeight="1" outlineLevel="1">
      <c r="B251" s="113"/>
      <c r="C251" s="36"/>
      <c r="D251" s="30"/>
      <c r="E251" s="30"/>
      <c r="F251" s="30"/>
      <c r="G251" s="30"/>
      <c r="H251" s="30"/>
      <c r="I251" s="63"/>
      <c r="J251" s="63"/>
      <c r="K251" s="63"/>
      <c r="L251" s="63"/>
      <c r="M251" s="195" t="s">
        <v>138</v>
      </c>
      <c r="N251" s="113"/>
    </row>
    <row r="252" spans="2:14" ht="15" customHeight="1" outlineLevel="1">
      <c r="B252" s="113"/>
      <c r="C252" s="36"/>
      <c r="D252" s="30"/>
      <c r="E252" s="30"/>
      <c r="F252" s="30"/>
      <c r="G252" s="30"/>
      <c r="H252" s="30"/>
      <c r="I252" s="63"/>
      <c r="J252" s="63"/>
      <c r="K252" s="63"/>
      <c r="L252" s="63"/>
      <c r="M252" s="257" t="s">
        <v>139</v>
      </c>
      <c r="N252" s="113"/>
    </row>
    <row r="253" spans="2:14" ht="15" customHeight="1" outlineLevel="1">
      <c r="B253" s="113"/>
      <c r="C253" s="36"/>
      <c r="D253" s="30"/>
      <c r="E253" s="30"/>
      <c r="F253" s="30"/>
      <c r="G253" s="30"/>
      <c r="H253" s="30"/>
      <c r="I253" s="63"/>
      <c r="J253" s="63"/>
      <c r="K253" s="63"/>
      <c r="L253" s="63"/>
      <c r="M253" s="294"/>
      <c r="N253" s="113"/>
    </row>
    <row r="254" spans="2:14" ht="15" customHeight="1" outlineLevel="1">
      <c r="B254" s="221"/>
      <c r="C254" s="15"/>
      <c r="D254" s="119"/>
      <c r="E254" s="119"/>
      <c r="F254" s="119"/>
      <c r="G254" s="119"/>
      <c r="H254" s="119"/>
      <c r="I254" s="222"/>
      <c r="J254" s="222"/>
      <c r="K254" s="222"/>
      <c r="L254" s="222"/>
      <c r="M254" s="222"/>
      <c r="N254" s="222"/>
    </row>
    <row r="255" spans="2:14" ht="15" customHeight="1">
      <c r="B255" s="18"/>
      <c r="C255" s="36"/>
      <c r="D255" s="30"/>
      <c r="E255" s="30"/>
      <c r="F255" s="30"/>
      <c r="G255" s="30"/>
      <c r="H255" s="30"/>
      <c r="I255" s="63"/>
      <c r="J255" s="63"/>
      <c r="K255" s="63"/>
      <c r="L255" s="63"/>
      <c r="M255" s="63"/>
      <c r="N255" s="63"/>
    </row>
    <row r="256" spans="2:14" ht="15" customHeight="1">
      <c r="B256" s="56" t="s">
        <v>143</v>
      </c>
      <c r="C256" s="57"/>
      <c r="D256" s="168"/>
      <c r="E256" s="168"/>
      <c r="F256" s="59"/>
      <c r="G256" s="59"/>
      <c r="H256" s="59"/>
      <c r="I256" s="169"/>
      <c r="J256" s="170"/>
      <c r="K256" s="170"/>
      <c r="L256" s="170"/>
      <c r="M256" s="170"/>
      <c r="N256" s="102"/>
    </row>
    <row r="257" spans="2:14" ht="15" customHeight="1" outlineLevel="1">
      <c r="B257" s="126"/>
      <c r="C257" s="36"/>
      <c r="D257" s="103"/>
      <c r="E257" s="103"/>
      <c r="F257" s="104"/>
      <c r="G257" s="104"/>
      <c r="H257" s="104"/>
      <c r="I257" s="104"/>
      <c r="J257" s="104"/>
      <c r="K257" s="104"/>
      <c r="L257" s="104"/>
      <c r="M257" s="104"/>
      <c r="N257" s="104"/>
    </row>
    <row r="258" spans="2:14" ht="15" customHeight="1" outlineLevel="1" thickBot="1">
      <c r="B258" s="18" t="s">
        <v>39</v>
      </c>
      <c r="C258" s="36"/>
      <c r="D258" s="30"/>
      <c r="E258" s="30"/>
      <c r="F258" s="104"/>
      <c r="G258" s="104"/>
      <c r="H258" s="104"/>
      <c r="I258" s="106">
        <f>I216</f>
        <v>2026</v>
      </c>
      <c r="J258" s="106">
        <f t="shared" ref="J258:M258" si="87">J216</f>
        <v>2027</v>
      </c>
      <c r="K258" s="106">
        <f t="shared" si="87"/>
        <v>2028</v>
      </c>
      <c r="L258" s="106">
        <f t="shared" si="87"/>
        <v>2029</v>
      </c>
      <c r="M258" s="106">
        <f t="shared" si="87"/>
        <v>2030</v>
      </c>
      <c r="N258" s="106" t="s">
        <v>10</v>
      </c>
    </row>
    <row r="259" spans="2:14" ht="15" customHeight="1" outlineLevel="1">
      <c r="B259" s="18" t="str">
        <f>B217</f>
        <v>Model Running: Base Case Drivers</v>
      </c>
      <c r="C259" s="36"/>
      <c r="D259" s="30"/>
      <c r="E259" s="30"/>
      <c r="F259" s="30"/>
      <c r="G259" s="30"/>
      <c r="H259" s="30"/>
      <c r="I259" s="63"/>
      <c r="J259" s="63"/>
      <c r="K259" s="63"/>
      <c r="L259" s="63"/>
      <c r="M259" s="63"/>
      <c r="N259" s="63"/>
    </row>
    <row r="260" spans="2:14" ht="15" customHeight="1" outlineLevel="1">
      <c r="B260" s="18"/>
      <c r="C260" s="36"/>
      <c r="D260" s="30"/>
      <c r="E260" s="30"/>
      <c r="F260" s="30"/>
      <c r="G260" s="30"/>
      <c r="H260" s="30"/>
      <c r="I260" s="161"/>
      <c r="J260" s="161"/>
      <c r="K260" s="161"/>
      <c r="L260" s="161"/>
      <c r="M260" s="161"/>
      <c r="N260" s="161"/>
    </row>
    <row r="261" spans="2:14" ht="15" customHeight="1" outlineLevel="1">
      <c r="B261" s="189" t="s">
        <v>144</v>
      </c>
      <c r="C261" s="36"/>
      <c r="D261" s="30"/>
      <c r="E261" s="189"/>
      <c r="F261" s="189" t="s">
        <v>145</v>
      </c>
      <c r="G261" s="148" t="s">
        <v>10</v>
      </c>
      <c r="H261" s="30"/>
      <c r="I261" s="63"/>
      <c r="J261" s="63"/>
      <c r="K261" s="63"/>
      <c r="L261" s="63"/>
      <c r="M261" s="63"/>
      <c r="N261" s="63"/>
    </row>
    <row r="262" spans="2:14" ht="15" customHeight="1" outlineLevel="1">
      <c r="B262" s="177" t="s">
        <v>146</v>
      </c>
      <c r="C262" s="36"/>
      <c r="D262" s="30"/>
      <c r="E262" s="30"/>
      <c r="F262" s="107" t="s">
        <v>78</v>
      </c>
      <c r="G262" s="172">
        <f>N49</f>
        <v>6774.644270670995</v>
      </c>
      <c r="H262" s="117"/>
      <c r="I262" s="284">
        <f>I246</f>
        <v>826.92932341249991</v>
      </c>
      <c r="J262" s="284">
        <f>J246</f>
        <v>995.26064922331295</v>
      </c>
      <c r="K262" s="284">
        <f>K246</f>
        <v>1049.0947954895435</v>
      </c>
      <c r="L262" s="284">
        <f>L246</f>
        <v>1103.5622043424464</v>
      </c>
      <c r="M262" s="284">
        <f>M246</f>
        <v>1158.8724642119168</v>
      </c>
      <c r="N262" s="295">
        <f>G262*$G$264</f>
        <v>1185.562747367424</v>
      </c>
    </row>
    <row r="263" spans="2:14" ht="15" customHeight="1" outlineLevel="1">
      <c r="B263" s="177" t="s">
        <v>147</v>
      </c>
      <c r="C263" s="36"/>
      <c r="D263" s="30"/>
      <c r="E263" s="30"/>
      <c r="F263" s="296" t="s">
        <v>80</v>
      </c>
      <c r="G263" s="174">
        <f>N52</f>
        <v>6524.644270670995</v>
      </c>
      <c r="H263" s="117"/>
      <c r="I263" s="284">
        <f>I204</f>
        <v>783.17932341249991</v>
      </c>
      <c r="J263" s="284">
        <f>J204</f>
        <v>951.51064922331295</v>
      </c>
      <c r="K263" s="284">
        <f>K204</f>
        <v>1005.3447954895436</v>
      </c>
      <c r="L263" s="284">
        <f>L204</f>
        <v>1059.8122043424464</v>
      </c>
      <c r="M263" s="284">
        <f>M204</f>
        <v>1115.1224642119168</v>
      </c>
      <c r="N263" s="297">
        <f t="shared" ref="N263" si="88">G263*$G$264</f>
        <v>1141.812747367424</v>
      </c>
    </row>
    <row r="264" spans="2:14" ht="15" customHeight="1" outlineLevel="1">
      <c r="B264" s="177" t="s">
        <v>148</v>
      </c>
      <c r="C264" s="103"/>
      <c r="D264" s="298"/>
      <c r="E264" s="298"/>
      <c r="F264" s="110" t="s">
        <v>24</v>
      </c>
      <c r="G264" s="228">
        <f>$C$35</f>
        <v>0.17499999999999999</v>
      </c>
      <c r="H264" s="117"/>
      <c r="I264" s="272">
        <f t="shared" ref="I264:N264" si="89">I262-I263</f>
        <v>43.75</v>
      </c>
      <c r="J264" s="272">
        <f t="shared" si="89"/>
        <v>43.75</v>
      </c>
      <c r="K264" s="272">
        <f t="shared" si="89"/>
        <v>43.749999999999886</v>
      </c>
      <c r="L264" s="272">
        <f t="shared" si="89"/>
        <v>43.75</v>
      </c>
      <c r="M264" s="272">
        <f t="shared" si="89"/>
        <v>43.75</v>
      </c>
      <c r="N264" s="299">
        <f t="shared" si="89"/>
        <v>43.75</v>
      </c>
    </row>
    <row r="265" spans="2:14" ht="15" customHeight="1" outlineLevel="1">
      <c r="B265" s="18"/>
      <c r="C265" s="36"/>
      <c r="D265" s="30"/>
      <c r="E265" s="30"/>
      <c r="F265" s="300"/>
      <c r="G265" s="300"/>
      <c r="H265" s="300"/>
      <c r="I265" s="194"/>
      <c r="J265" s="194"/>
      <c r="K265" s="194"/>
      <c r="L265" s="194"/>
      <c r="M265" s="194"/>
      <c r="N265" s="194"/>
    </row>
    <row r="266" spans="2:14" ht="15" customHeight="1" outlineLevel="1">
      <c r="B266" s="18"/>
      <c r="C266" s="36"/>
      <c r="D266" s="30"/>
      <c r="E266" s="30"/>
      <c r="F266" s="30"/>
      <c r="G266" s="30"/>
      <c r="H266" s="30"/>
      <c r="I266" s="63"/>
      <c r="J266" s="63"/>
      <c r="K266" s="63"/>
      <c r="L266" s="63"/>
      <c r="M266" s="63"/>
      <c r="N266" s="63"/>
    </row>
    <row r="267" spans="2:14" ht="15" customHeight="1" outlineLevel="1">
      <c r="B267" s="221"/>
      <c r="C267" s="15"/>
      <c r="D267" s="119"/>
      <c r="E267" s="119"/>
      <c r="F267" s="119"/>
      <c r="G267" s="119"/>
      <c r="H267" s="119"/>
      <c r="I267" s="222"/>
      <c r="J267" s="222"/>
      <c r="K267" s="222"/>
      <c r="L267" s="222"/>
      <c r="M267" s="222"/>
      <c r="N267" s="222"/>
    </row>
    <row r="268" spans="2:14" ht="15" customHeight="1" outlineLevel="1">
      <c r="B268" s="18"/>
      <c r="C268" s="36"/>
      <c r="D268" s="30"/>
      <c r="E268" s="30"/>
      <c r="F268" s="30"/>
      <c r="G268" s="30"/>
      <c r="H268" s="30"/>
      <c r="I268" s="63"/>
      <c r="J268" s="63"/>
      <c r="K268" s="63"/>
      <c r="L268" s="63"/>
      <c r="M268" s="63"/>
      <c r="N268" s="63"/>
    </row>
    <row r="269" spans="2:14" ht="15" customHeight="1" outlineLevel="1">
      <c r="B269" s="189" t="s">
        <v>149</v>
      </c>
      <c r="C269" s="113"/>
      <c r="D269" s="301"/>
      <c r="E269" s="30"/>
      <c r="F269" s="30"/>
      <c r="G269" s="30"/>
      <c r="H269" s="30"/>
      <c r="I269" s="113"/>
      <c r="J269" s="113"/>
      <c r="K269" s="113"/>
      <c r="L269" s="113"/>
      <c r="M269" s="113"/>
      <c r="N269" s="113"/>
    </row>
    <row r="270" spans="2:14" ht="15" customHeight="1" outlineLevel="1">
      <c r="B270" s="177" t="s">
        <v>76</v>
      </c>
      <c r="C270" s="36"/>
      <c r="D270" s="30"/>
      <c r="E270" s="30"/>
      <c r="F270" s="16"/>
      <c r="G270" s="117"/>
      <c r="H270" s="117"/>
      <c r="I270" s="284">
        <f>I44</f>
        <v>6600.6766199999993</v>
      </c>
      <c r="J270" s="284">
        <f t="shared" ref="J270:N270" si="90">J44</f>
        <v>6906.8769216000028</v>
      </c>
      <c r="K270" s="284">
        <f t="shared" si="90"/>
        <v>7211.2729737120044</v>
      </c>
      <c r="L270" s="284">
        <f t="shared" si="90"/>
        <v>7530.1376134670472</v>
      </c>
      <c r="M270" s="284">
        <f t="shared" si="90"/>
        <v>7864.1764709587787</v>
      </c>
      <c r="N270" s="295">
        <f t="shared" si="90"/>
        <v>8214.1298262614182</v>
      </c>
    </row>
    <row r="271" spans="2:14" ht="15" customHeight="1" outlineLevel="1">
      <c r="B271" s="177" t="s">
        <v>135</v>
      </c>
      <c r="C271" s="36"/>
      <c r="D271" s="30"/>
      <c r="E271" s="30"/>
      <c r="F271" s="16"/>
      <c r="G271" s="117"/>
      <c r="H271" s="117"/>
      <c r="I271" s="284">
        <f>-I262</f>
        <v>-826.92932341249991</v>
      </c>
      <c r="J271" s="284">
        <f t="shared" ref="J271:N271" si="91">-J262</f>
        <v>-995.26064922331295</v>
      </c>
      <c r="K271" s="284">
        <f t="shared" si="91"/>
        <v>-1049.0947954895435</v>
      </c>
      <c r="L271" s="284">
        <f t="shared" si="91"/>
        <v>-1103.5622043424464</v>
      </c>
      <c r="M271" s="284">
        <f t="shared" si="91"/>
        <v>-1158.8724642119168</v>
      </c>
      <c r="N271" s="297">
        <f t="shared" si="91"/>
        <v>-1185.562747367424</v>
      </c>
    </row>
    <row r="272" spans="2:14" ht="15" customHeight="1" outlineLevel="1">
      <c r="B272" s="177" t="s">
        <v>15</v>
      </c>
      <c r="C272" s="36"/>
      <c r="D272" s="30"/>
      <c r="E272" s="30"/>
      <c r="F272" s="117"/>
      <c r="G272" s="117"/>
      <c r="H272" s="117"/>
      <c r="I272" s="284">
        <f>-Inputs!G35</f>
        <v>-1091.6137200000001</v>
      </c>
      <c r="J272" s="284">
        <f>-Inputs!H35</f>
        <v>-1135.1988096000002</v>
      </c>
      <c r="K272" s="284">
        <f>-Inputs!I35</f>
        <v>-1180.6888614720001</v>
      </c>
      <c r="L272" s="284">
        <f>-Inputs!J35</f>
        <v>-1228.1714626742403</v>
      </c>
      <c r="M272" s="284">
        <f>-Inputs!K35</f>
        <v>-1277.7383393883169</v>
      </c>
      <c r="N272" s="297">
        <f>-Inputs!L35</f>
        <v>-1329.485555590423</v>
      </c>
    </row>
    <row r="273" spans="2:14" ht="15" customHeight="1" outlineLevel="1">
      <c r="B273" s="177" t="s">
        <v>150</v>
      </c>
      <c r="C273" s="36"/>
      <c r="D273" s="30"/>
      <c r="E273" s="30"/>
      <c r="F273" s="117"/>
      <c r="G273" s="117"/>
      <c r="H273" s="117"/>
      <c r="I273" s="284">
        <f t="shared" ref="I273:N273" si="92">I90</f>
        <v>-4.6952579178032465</v>
      </c>
      <c r="J273" s="284">
        <f t="shared" si="92"/>
        <v>-252.44135774466122</v>
      </c>
      <c r="K273" s="284">
        <f t="shared" si="92"/>
        <v>-705.15811915555241</v>
      </c>
      <c r="L273" s="284">
        <f t="shared" si="92"/>
        <v>-736.04536329390612</v>
      </c>
      <c r="M273" s="284">
        <f t="shared" si="92"/>
        <v>-768.3544888992983</v>
      </c>
      <c r="N273" s="297">
        <f t="shared" si="92"/>
        <v>-802.15273773017907</v>
      </c>
    </row>
    <row r="274" spans="2:14" ht="15" customHeight="1" outlineLevel="1" thickBot="1">
      <c r="B274" s="177" t="s">
        <v>151</v>
      </c>
      <c r="C274" s="103"/>
      <c r="D274" s="298"/>
      <c r="E274" s="298"/>
      <c r="F274" s="117"/>
      <c r="G274" s="117"/>
      <c r="H274" s="117"/>
      <c r="I274" s="302">
        <f t="shared" ref="I274:N274" si="93">SUM(I270:I273)</f>
        <v>4677.4383186696959</v>
      </c>
      <c r="J274" s="302">
        <f t="shared" si="93"/>
        <v>4523.9761050320285</v>
      </c>
      <c r="K274" s="302">
        <f t="shared" si="93"/>
        <v>4276.3311975949082</v>
      </c>
      <c r="L274" s="302">
        <f t="shared" si="93"/>
        <v>4462.3585831564542</v>
      </c>
      <c r="M274" s="302">
        <f t="shared" si="93"/>
        <v>4659.2111784592471</v>
      </c>
      <c r="N274" s="303">
        <f t="shared" si="93"/>
        <v>4896.9287855733919</v>
      </c>
    </row>
    <row r="275" spans="2:14" ht="15" customHeight="1" outlineLevel="1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304"/>
    </row>
    <row r="276" spans="2:14" ht="15" customHeight="1" outlineLevel="1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2:14" ht="15" customHeight="1" outlineLevel="1">
      <c r="B277" s="189" t="s">
        <v>152</v>
      </c>
      <c r="C277" s="113"/>
      <c r="D277" s="301"/>
      <c r="E277" s="30"/>
      <c r="F277" s="30"/>
      <c r="G277" s="30"/>
      <c r="H277" s="30"/>
      <c r="I277" s="113"/>
      <c r="J277" s="113"/>
      <c r="K277" s="113"/>
      <c r="L277" s="113"/>
      <c r="M277" s="113"/>
      <c r="N277" s="114"/>
    </row>
    <row r="278" spans="2:14" ht="15" customHeight="1" outlineLevel="1">
      <c r="B278" s="177" t="s">
        <v>84</v>
      </c>
      <c r="C278" s="36"/>
      <c r="D278" s="30"/>
      <c r="E278" s="30"/>
      <c r="F278" s="117"/>
      <c r="G278" s="117"/>
      <c r="H278" s="117"/>
      <c r="I278" s="284">
        <f t="shared" ref="I278:N278" si="94">I58</f>
        <v>4562.5797728499992</v>
      </c>
      <c r="J278" s="284">
        <f t="shared" si="94"/>
        <v>4789.526349388002</v>
      </c>
      <c r="K278" s="284">
        <f t="shared" si="94"/>
        <v>5026.9596369031633</v>
      </c>
      <c r="L278" s="284">
        <f t="shared" si="94"/>
        <v>5270.1011352440628</v>
      </c>
      <c r="M278" s="284">
        <f t="shared" si="94"/>
        <v>5519.4769328963812</v>
      </c>
      <c r="N278" s="295">
        <f t="shared" si="94"/>
        <v>5382.831523303571</v>
      </c>
    </row>
    <row r="279" spans="2:14" ht="15" customHeight="1" outlineLevel="1">
      <c r="B279" s="177" t="s">
        <v>223</v>
      </c>
      <c r="C279" s="36"/>
      <c r="D279" s="30"/>
      <c r="E279" s="30"/>
      <c r="F279" s="117"/>
      <c r="G279" s="117"/>
      <c r="H279" s="117"/>
      <c r="I279" s="284">
        <f>-I47</f>
        <v>175</v>
      </c>
      <c r="J279" s="284">
        <f t="shared" ref="J279:N279" si="95">-J47</f>
        <v>169</v>
      </c>
      <c r="K279" s="284">
        <f t="shared" si="95"/>
        <v>147</v>
      </c>
      <c r="L279" s="284">
        <f t="shared" si="95"/>
        <v>131</v>
      </c>
      <c r="M279" s="284">
        <f t="shared" si="95"/>
        <v>121</v>
      </c>
      <c r="N279" s="297">
        <f t="shared" si="95"/>
        <v>110</v>
      </c>
    </row>
    <row r="280" spans="2:14" ht="15" customHeight="1" outlineLevel="1">
      <c r="B280" s="177" t="s">
        <v>153</v>
      </c>
      <c r="C280" s="36"/>
      <c r="D280" s="30"/>
      <c r="E280" s="30"/>
      <c r="F280" s="117"/>
      <c r="G280" s="117"/>
      <c r="H280" s="117"/>
      <c r="I280" s="284">
        <f>-I48</f>
        <v>645.27689533333341</v>
      </c>
      <c r="J280" s="284">
        <f t="shared" ref="J280:N280" si="96">-J48</f>
        <v>682.39043749333337</v>
      </c>
      <c r="K280" s="284">
        <f t="shared" si="96"/>
        <v>720.98856534453341</v>
      </c>
      <c r="L280" s="284">
        <f t="shared" si="96"/>
        <v>761.13623741363745</v>
      </c>
      <c r="M280" s="284">
        <f t="shared" si="96"/>
        <v>802.90140078134664</v>
      </c>
      <c r="N280" s="297">
        <f t="shared" si="96"/>
        <v>1329.485555590423</v>
      </c>
    </row>
    <row r="281" spans="2:14" ht="15" customHeight="1" outlineLevel="1">
      <c r="B281" s="177" t="s">
        <v>154</v>
      </c>
      <c r="C281" s="36"/>
      <c r="D281" s="30"/>
      <c r="E281" s="30"/>
      <c r="F281" s="117"/>
      <c r="G281" s="117"/>
      <c r="H281" s="117"/>
      <c r="I281" s="284">
        <f>I55</f>
        <v>184.64062840416659</v>
      </c>
      <c r="J281" s="284">
        <f t="shared" ref="J281:N281" si="97">J55</f>
        <v>64.449485495354111</v>
      </c>
      <c r="K281" s="284">
        <f t="shared" si="97"/>
        <v>60.979975974763761</v>
      </c>
      <c r="L281" s="284">
        <f t="shared" si="97"/>
        <v>58.088036466900121</v>
      </c>
      <c r="M281" s="284">
        <f t="shared" si="97"/>
        <v>55.675673069133609</v>
      </c>
      <c r="N281" s="297">
        <f t="shared" si="97"/>
        <v>0</v>
      </c>
    </row>
    <row r="282" spans="2:14" ht="15" customHeight="1" outlineLevel="1">
      <c r="B282" s="177" t="s">
        <v>71</v>
      </c>
      <c r="C282" s="36"/>
      <c r="D282" s="30"/>
      <c r="E282" s="30"/>
      <c r="F282" s="117"/>
      <c r="G282" s="117"/>
      <c r="H282" s="117"/>
      <c r="I282" s="284">
        <f>-I51</f>
        <v>250</v>
      </c>
      <c r="J282" s="284">
        <f t="shared" ref="J282:N282" si="98">-J51</f>
        <v>250</v>
      </c>
      <c r="K282" s="284">
        <f t="shared" si="98"/>
        <v>250</v>
      </c>
      <c r="L282" s="284">
        <f t="shared" si="98"/>
        <v>250</v>
      </c>
      <c r="M282" s="284">
        <f t="shared" si="98"/>
        <v>250</v>
      </c>
      <c r="N282" s="297">
        <f t="shared" si="98"/>
        <v>250</v>
      </c>
    </row>
    <row r="283" spans="2:14" ht="15" customHeight="1" outlineLevel="1">
      <c r="B283" s="177" t="s">
        <v>155</v>
      </c>
      <c r="C283" s="36"/>
      <c r="D283" s="30"/>
      <c r="E283" s="30"/>
      <c r="F283" s="117"/>
      <c r="G283" s="117"/>
      <c r="H283" s="117"/>
      <c r="I283" s="284">
        <f t="shared" ref="I283:N283" si="99">-I264</f>
        <v>-43.75</v>
      </c>
      <c r="J283" s="284">
        <f t="shared" si="99"/>
        <v>-43.75</v>
      </c>
      <c r="K283" s="284">
        <f t="shared" si="99"/>
        <v>-43.749999999999886</v>
      </c>
      <c r="L283" s="284">
        <f t="shared" si="99"/>
        <v>-43.75</v>
      </c>
      <c r="M283" s="284">
        <f t="shared" si="99"/>
        <v>-43.75</v>
      </c>
      <c r="N283" s="297">
        <f t="shared" si="99"/>
        <v>-43.75</v>
      </c>
    </row>
    <row r="284" spans="2:14" ht="15" customHeight="1" outlineLevel="1">
      <c r="B284" s="177" t="s">
        <v>15</v>
      </c>
      <c r="C284" s="36"/>
      <c r="D284" s="30"/>
      <c r="E284" s="30"/>
      <c r="F284" s="117"/>
      <c r="G284" s="117"/>
      <c r="H284" s="117"/>
      <c r="I284" s="284">
        <f t="shared" ref="I284:N285" si="100">I272</f>
        <v>-1091.6137200000001</v>
      </c>
      <c r="J284" s="284">
        <f t="shared" si="100"/>
        <v>-1135.1988096000002</v>
      </c>
      <c r="K284" s="284">
        <f t="shared" si="100"/>
        <v>-1180.6888614720001</v>
      </c>
      <c r="L284" s="284">
        <f t="shared" si="100"/>
        <v>-1228.1714626742403</v>
      </c>
      <c r="M284" s="284">
        <f t="shared" si="100"/>
        <v>-1277.7383393883169</v>
      </c>
      <c r="N284" s="297">
        <f t="shared" si="100"/>
        <v>-1329.485555590423</v>
      </c>
    </row>
    <row r="285" spans="2:14" ht="15" customHeight="1" outlineLevel="1">
      <c r="B285" s="177" t="s">
        <v>150</v>
      </c>
      <c r="C285" s="36"/>
      <c r="D285" s="30"/>
      <c r="E285" s="30"/>
      <c r="F285" s="117"/>
      <c r="G285" s="117"/>
      <c r="H285" s="117"/>
      <c r="I285" s="284">
        <f t="shared" si="100"/>
        <v>-4.6952579178032465</v>
      </c>
      <c r="J285" s="284">
        <f t="shared" si="100"/>
        <v>-252.44135774466122</v>
      </c>
      <c r="K285" s="284">
        <f t="shared" si="100"/>
        <v>-705.15811915555241</v>
      </c>
      <c r="L285" s="284">
        <f t="shared" si="100"/>
        <v>-736.04536329390612</v>
      </c>
      <c r="M285" s="284">
        <f t="shared" si="100"/>
        <v>-768.3544888992983</v>
      </c>
      <c r="N285" s="297">
        <f t="shared" si="100"/>
        <v>-802.15273773017907</v>
      </c>
    </row>
    <row r="286" spans="2:14" ht="15" customHeight="1" outlineLevel="1" thickBot="1">
      <c r="B286" s="177" t="s">
        <v>151</v>
      </c>
      <c r="C286" s="103"/>
      <c r="D286" s="298"/>
      <c r="E286" s="298"/>
      <c r="F286" s="117"/>
      <c r="G286" s="117"/>
      <c r="H286" s="117"/>
      <c r="I286" s="302">
        <f>SUM(I278:I285)+I287</f>
        <v>4677.4383186696959</v>
      </c>
      <c r="J286" s="302">
        <f>SUM(J278:J285)</f>
        <v>4523.9761050320285</v>
      </c>
      <c r="K286" s="302">
        <f>SUM(K278:K285)</f>
        <v>4276.3311975949082</v>
      </c>
      <c r="L286" s="302">
        <f>SUM(L278:L285)</f>
        <v>4462.3585831564542</v>
      </c>
      <c r="M286" s="302">
        <f>SUM(M278:M285)</f>
        <v>4659.2111784592453</v>
      </c>
      <c r="N286" s="303">
        <f>SUM(N278:N285)</f>
        <v>4896.9287855733919</v>
      </c>
    </row>
    <row r="287" spans="2:14" ht="15" customHeight="1" outlineLevel="1">
      <c r="B287" s="16"/>
      <c r="C287" s="16"/>
      <c r="D287" s="16"/>
      <c r="E287" s="16"/>
      <c r="F287" s="16"/>
      <c r="G287" s="16"/>
      <c r="H287" s="16"/>
      <c r="I287" s="580"/>
      <c r="J287" s="16"/>
      <c r="K287" s="16"/>
      <c r="L287" s="16"/>
      <c r="M287" s="16"/>
      <c r="N287" s="304"/>
    </row>
    <row r="288" spans="2:14" ht="15" customHeight="1" outlineLevel="1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 spans="2:14" ht="15" customHeight="1" outlineLevel="1">
      <c r="B289" s="305" t="s">
        <v>7</v>
      </c>
      <c r="C289" s="306"/>
      <c r="D289" s="125"/>
      <c r="E289" s="307"/>
      <c r="F289" s="308"/>
      <c r="G289" s="308"/>
      <c r="H289" s="308"/>
      <c r="I289" s="309">
        <f t="shared" ref="I289:N289" si="101">IF(ROUND(I274-I286,1)=0,0,1)</f>
        <v>0</v>
      </c>
      <c r="J289" s="310">
        <f t="shared" si="101"/>
        <v>0</v>
      </c>
      <c r="K289" s="310">
        <f t="shared" si="101"/>
        <v>0</v>
      </c>
      <c r="L289" s="310">
        <f t="shared" si="101"/>
        <v>0</v>
      </c>
      <c r="M289" s="310">
        <f t="shared" si="101"/>
        <v>0</v>
      </c>
      <c r="N289" s="311">
        <f t="shared" si="101"/>
        <v>0</v>
      </c>
    </row>
    <row r="290" spans="2:14" ht="15" customHeight="1" outlineLevel="1">
      <c r="B290" s="16"/>
      <c r="C290" s="306"/>
      <c r="D290" s="307"/>
      <c r="E290" s="307"/>
      <c r="F290" s="308"/>
      <c r="G290" s="308"/>
      <c r="H290" s="308"/>
      <c r="I290" s="308"/>
      <c r="J290" s="308"/>
      <c r="K290" s="308"/>
      <c r="L290" s="308"/>
      <c r="M290" s="308"/>
      <c r="N290" s="308"/>
    </row>
    <row r="291" spans="2:14" ht="15" customHeight="1" outlineLevel="1">
      <c r="B291" s="16"/>
      <c r="C291" s="306"/>
      <c r="D291" s="307"/>
      <c r="E291" s="307"/>
      <c r="F291" s="308"/>
      <c r="G291" s="308"/>
      <c r="H291" s="308"/>
      <c r="I291" s="16"/>
      <c r="J291" s="16"/>
      <c r="K291" s="16"/>
      <c r="L291" s="16"/>
      <c r="M291" s="16"/>
      <c r="N291" s="16"/>
    </row>
    <row r="292" spans="2:14" ht="15" customHeight="1" outlineLevel="1">
      <c r="B292" s="113"/>
      <c r="C292" s="36"/>
      <c r="D292" s="30"/>
      <c r="E292" s="30"/>
      <c r="F292" s="30"/>
      <c r="G292" s="30"/>
      <c r="H292" s="30"/>
      <c r="I292" s="63"/>
      <c r="J292" s="63"/>
      <c r="K292" s="63"/>
      <c r="L292" s="63"/>
      <c r="M292" s="113"/>
      <c r="N292" s="195" t="s">
        <v>156</v>
      </c>
    </row>
    <row r="293" spans="2:14" ht="15" customHeight="1" outlineLevel="1">
      <c r="B293" s="113"/>
      <c r="C293" s="36"/>
      <c r="D293" s="30"/>
      <c r="E293" s="30"/>
      <c r="F293" s="30"/>
      <c r="G293" s="30"/>
      <c r="H293" s="30"/>
      <c r="I293" s="63"/>
      <c r="J293" s="63"/>
      <c r="K293" s="63"/>
      <c r="L293" s="63"/>
      <c r="M293" s="113"/>
      <c r="N293" s="257" t="s">
        <v>157</v>
      </c>
    </row>
    <row r="294" spans="2:14" ht="15" customHeight="1" outlineLevel="1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 spans="2:14" ht="15" customHeight="1" outlineLevel="1">
      <c r="B295" s="11"/>
      <c r="C295" s="166"/>
      <c r="D295" s="131"/>
      <c r="E295" s="131"/>
      <c r="F295" s="312"/>
      <c r="G295" s="312"/>
      <c r="H295" s="312"/>
      <c r="I295" s="312"/>
      <c r="J295" s="312"/>
      <c r="K295" s="312"/>
      <c r="L295" s="312"/>
      <c r="M295" s="312"/>
      <c r="N295" s="312"/>
    </row>
    <row r="296" spans="2:14" ht="15" customHeight="1">
      <c r="B296" s="18"/>
      <c r="C296" s="36"/>
      <c r="D296" s="30"/>
      <c r="E296" s="30"/>
      <c r="F296" s="30"/>
      <c r="G296" s="30"/>
      <c r="H296" s="30"/>
      <c r="I296" s="63"/>
      <c r="J296" s="63"/>
      <c r="K296" s="63"/>
      <c r="L296" s="63"/>
      <c r="M296" s="63"/>
      <c r="N296" s="63"/>
    </row>
    <row r="297" spans="2:14" ht="15" customHeight="1">
      <c r="B297" s="56" t="s">
        <v>158</v>
      </c>
      <c r="C297" s="57"/>
      <c r="D297" s="168"/>
      <c r="E297" s="168"/>
      <c r="F297" s="59"/>
      <c r="G297" s="59"/>
      <c r="H297" s="59"/>
      <c r="I297" s="169"/>
      <c r="J297" s="170"/>
      <c r="K297" s="170"/>
      <c r="L297" s="170"/>
      <c r="M297" s="170"/>
      <c r="N297" s="102"/>
    </row>
    <row r="298" spans="2:14" ht="15" customHeight="1" outlineLevel="1">
      <c r="B298" s="126"/>
      <c r="C298" s="36"/>
      <c r="D298" s="103"/>
      <c r="E298" s="103"/>
      <c r="F298" s="104"/>
      <c r="G298" s="104"/>
      <c r="H298" s="104"/>
      <c r="I298" s="104"/>
      <c r="J298" s="104"/>
      <c r="K298" s="104"/>
      <c r="L298" s="104"/>
      <c r="M298" s="104"/>
      <c r="N298" s="104"/>
    </row>
    <row r="299" spans="2:14" ht="15" customHeight="1" outlineLevel="1">
      <c r="B299" s="18" t="s">
        <v>39</v>
      </c>
      <c r="C299" s="36"/>
      <c r="D299" s="103"/>
      <c r="E299" s="103"/>
      <c r="F299" s="113"/>
      <c r="G299" s="113"/>
      <c r="H299" s="113"/>
      <c r="I299" s="113"/>
      <c r="J299" s="113"/>
      <c r="K299" s="113"/>
      <c r="L299" s="113"/>
      <c r="M299" s="113"/>
      <c r="N299" s="113"/>
    </row>
    <row r="300" spans="2:14" ht="15" customHeight="1" outlineLevel="1">
      <c r="B300" s="18" t="str">
        <f>B259</f>
        <v>Model Running: Base Case Drivers</v>
      </c>
      <c r="C300" s="113"/>
      <c r="D300" s="113"/>
      <c r="E300" s="30"/>
      <c r="F300" s="104"/>
      <c r="G300" s="104"/>
      <c r="H300" s="313" t="s">
        <v>52</v>
      </c>
      <c r="I300" s="314" t="s">
        <v>159</v>
      </c>
      <c r="J300" s="315"/>
      <c r="K300" s="315"/>
      <c r="L300" s="315"/>
      <c r="M300" s="315"/>
      <c r="N300" s="316" t="s">
        <v>10</v>
      </c>
    </row>
    <row r="301" spans="2:14" ht="15" customHeight="1" outlineLevel="1">
      <c r="B301" s="113"/>
      <c r="C301" s="113"/>
      <c r="D301" s="113"/>
      <c r="E301" s="30"/>
      <c r="F301" s="113"/>
      <c r="G301" s="113"/>
      <c r="H301" s="317" t="s">
        <v>42</v>
      </c>
      <c r="I301" s="317" t="s">
        <v>42</v>
      </c>
      <c r="J301" s="318" t="s">
        <v>42</v>
      </c>
      <c r="K301" s="318" t="s">
        <v>42</v>
      </c>
      <c r="L301" s="318" t="s">
        <v>42</v>
      </c>
      <c r="M301" s="318" t="s">
        <v>42</v>
      </c>
      <c r="N301" s="319" t="s">
        <v>42</v>
      </c>
    </row>
    <row r="302" spans="2:14" ht="15" customHeight="1" outlineLevel="1">
      <c r="B302" s="207" t="s">
        <v>160</v>
      </c>
      <c r="C302" s="320">
        <f>Outputs!O12</f>
        <v>0.02</v>
      </c>
      <c r="D302" s="113"/>
      <c r="E302" s="30"/>
      <c r="F302" s="321" t="s">
        <v>161</v>
      </c>
      <c r="G302" s="113"/>
      <c r="H302" s="322">
        <f>Inputs!$F$98</f>
        <v>46081</v>
      </c>
      <c r="I302" s="322">
        <f>Inputs!$F$100</f>
        <v>46387</v>
      </c>
      <c r="J302" s="323">
        <f>EDATE(I302,12)</f>
        <v>46752</v>
      </c>
      <c r="K302" s="323">
        <f t="shared" ref="K302:N303" si="102">EDATE(J302,12)</f>
        <v>47118</v>
      </c>
      <c r="L302" s="323">
        <f t="shared" si="102"/>
        <v>47483</v>
      </c>
      <c r="M302" s="323">
        <f t="shared" si="102"/>
        <v>47848</v>
      </c>
      <c r="N302" s="324">
        <f t="shared" si="102"/>
        <v>48213</v>
      </c>
    </row>
    <row r="303" spans="2:14" ht="15" customHeight="1" outlineLevel="1" thickBot="1">
      <c r="B303" s="262" t="s">
        <v>17</v>
      </c>
      <c r="C303" s="325">
        <f>Outputs!O13</f>
        <v>5.8432495579961892E-2</v>
      </c>
      <c r="D303" s="103"/>
      <c r="E303" s="103"/>
      <c r="F303" s="321" t="s">
        <v>162</v>
      </c>
      <c r="G303" s="113"/>
      <c r="H303" s="322">
        <f>H302</f>
        <v>46081</v>
      </c>
      <c r="I303" s="322">
        <f>Inputs!$F$99</f>
        <v>46387</v>
      </c>
      <c r="J303" s="323">
        <f>EDATE(I303,12)</f>
        <v>46752</v>
      </c>
      <c r="K303" s="323">
        <f t="shared" si="102"/>
        <v>47118</v>
      </c>
      <c r="L303" s="323">
        <f t="shared" si="102"/>
        <v>47483</v>
      </c>
      <c r="M303" s="323">
        <f t="shared" si="102"/>
        <v>47848</v>
      </c>
      <c r="N303" s="326">
        <f t="shared" si="102"/>
        <v>48213</v>
      </c>
    </row>
    <row r="304" spans="2:14" ht="15" customHeight="1" outlineLevel="1">
      <c r="B304" s="126"/>
      <c r="C304" s="36"/>
      <c r="D304" s="103"/>
      <c r="E304" s="103"/>
      <c r="F304" s="104"/>
      <c r="G304" s="104"/>
      <c r="H304" s="327"/>
      <c r="I304" s="327"/>
      <c r="J304" s="327"/>
      <c r="K304" s="327"/>
      <c r="L304" s="327"/>
      <c r="M304" s="327"/>
      <c r="N304" s="327"/>
    </row>
    <row r="305" spans="2:14" ht="15" customHeight="1" outlineLevel="1">
      <c r="B305" s="217" t="s">
        <v>151</v>
      </c>
      <c r="C305" s="113"/>
      <c r="D305" s="30"/>
      <c r="E305" s="30"/>
      <c r="F305" s="117"/>
      <c r="G305" s="117"/>
      <c r="H305" s="328">
        <v>0</v>
      </c>
      <c r="I305" s="199">
        <f>I286</f>
        <v>4677.4383186696959</v>
      </c>
      <c r="J305" s="199">
        <f t="shared" ref="J305:N305" si="103">J286</f>
        <v>4523.9761050320285</v>
      </c>
      <c r="K305" s="199">
        <f t="shared" si="103"/>
        <v>4276.3311975949082</v>
      </c>
      <c r="L305" s="199">
        <f t="shared" si="103"/>
        <v>4462.3585831564542</v>
      </c>
      <c r="M305" s="199">
        <f t="shared" si="103"/>
        <v>4659.2111784592453</v>
      </c>
      <c r="N305" s="299">
        <f t="shared" si="103"/>
        <v>4896.9287855733919</v>
      </c>
    </row>
    <row r="306" spans="2:14" ht="15" customHeight="1" outlineLevel="1"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</row>
    <row r="307" spans="2:14" ht="15" customHeight="1" outlineLevel="1">
      <c r="B307" s="18"/>
      <c r="C307" s="113"/>
      <c r="D307" s="16"/>
      <c r="E307" s="30"/>
      <c r="F307" s="16"/>
      <c r="G307" s="30"/>
      <c r="H307" s="30"/>
      <c r="I307" s="63"/>
      <c r="J307" s="63"/>
      <c r="K307" s="63"/>
      <c r="L307" s="63"/>
      <c r="M307" s="63"/>
      <c r="N307" s="113"/>
    </row>
    <row r="308" spans="2:14" ht="15" customHeight="1" outlineLevel="1">
      <c r="B308" s="189" t="s">
        <v>163</v>
      </c>
      <c r="C308" s="113"/>
      <c r="D308" s="16"/>
      <c r="E308" s="30"/>
      <c r="F308" s="16"/>
      <c r="G308" s="30"/>
      <c r="H308" s="30"/>
      <c r="I308" s="63"/>
      <c r="J308" s="63"/>
      <c r="K308" s="63"/>
      <c r="L308" s="63"/>
      <c r="M308" s="63"/>
      <c r="N308" s="113"/>
    </row>
    <row r="309" spans="2:14" ht="15" customHeight="1" outlineLevel="1">
      <c r="B309" s="20" t="s">
        <v>159</v>
      </c>
      <c r="C309" s="113"/>
      <c r="D309" s="329"/>
      <c r="E309" s="30"/>
      <c r="F309" s="16"/>
      <c r="G309" s="117"/>
      <c r="H309" s="140">
        <v>0</v>
      </c>
      <c r="I309" s="330">
        <f>I305</f>
        <v>4677.4383186696959</v>
      </c>
      <c r="J309" s="330">
        <f t="shared" ref="J309:M309" si="104">J305</f>
        <v>4523.9761050320285</v>
      </c>
      <c r="K309" s="330">
        <f t="shared" si="104"/>
        <v>4276.3311975949082</v>
      </c>
      <c r="L309" s="330">
        <f t="shared" si="104"/>
        <v>4462.3585831564542</v>
      </c>
      <c r="M309" s="330">
        <f t="shared" si="104"/>
        <v>4659.2111784592453</v>
      </c>
      <c r="N309" s="270"/>
    </row>
    <row r="310" spans="2:14" ht="15" customHeight="1" outlineLevel="1">
      <c r="B310" s="20" t="s">
        <v>164</v>
      </c>
      <c r="C310" s="113"/>
      <c r="D310" s="30"/>
      <c r="E310" s="30"/>
      <c r="F310" s="16"/>
      <c r="G310" s="117"/>
      <c r="H310" s="143">
        <v>0</v>
      </c>
      <c r="I310" s="143">
        <v>0</v>
      </c>
      <c r="J310" s="143">
        <v>0</v>
      </c>
      <c r="K310" s="143">
        <v>0</v>
      </c>
      <c r="L310" s="143">
        <v>0</v>
      </c>
      <c r="M310" s="331">
        <f>N305/(C303-C302)</f>
        <v>127416.36242135092</v>
      </c>
      <c r="N310" s="270"/>
    </row>
    <row r="311" spans="2:14" ht="15" customHeight="1" outlineLevel="1">
      <c r="B311" s="20" t="s">
        <v>165</v>
      </c>
      <c r="C311" s="113"/>
      <c r="D311" s="298"/>
      <c r="E311" s="298"/>
      <c r="F311" s="117"/>
      <c r="G311" s="117"/>
      <c r="H311" s="157">
        <f>SUM(H309:H310)</f>
        <v>0</v>
      </c>
      <c r="I311" s="330">
        <f>SUM(I309:I310)</f>
        <v>4677.4383186696959</v>
      </c>
      <c r="J311" s="330">
        <f t="shared" ref="J311:M311" si="105">SUM(J309:J310)</f>
        <v>4523.9761050320285</v>
      </c>
      <c r="K311" s="330">
        <f t="shared" si="105"/>
        <v>4276.3311975949082</v>
      </c>
      <c r="L311" s="330">
        <f t="shared" si="105"/>
        <v>4462.3585831564542</v>
      </c>
      <c r="M311" s="330">
        <f t="shared" si="105"/>
        <v>132075.57359981016</v>
      </c>
      <c r="N311" s="117"/>
    </row>
    <row r="312" spans="2:14" ht="15" customHeight="1" outlineLevel="1">
      <c r="B312" s="189"/>
      <c r="C312" s="113"/>
      <c r="D312" s="30"/>
      <c r="E312" s="30"/>
      <c r="F312" s="300"/>
      <c r="G312" s="300"/>
      <c r="H312" s="300"/>
      <c r="I312" s="300"/>
      <c r="J312" s="300"/>
      <c r="K312" s="300"/>
      <c r="L312" s="300"/>
      <c r="M312" s="16"/>
      <c r="N312" s="16"/>
    </row>
    <row r="313" spans="2:14" ht="15" customHeight="1" outlineLevel="1">
      <c r="B313" s="189" t="s">
        <v>166</v>
      </c>
      <c r="C313" s="113"/>
      <c r="D313" s="30"/>
      <c r="E313" s="30"/>
      <c r="F313" s="16"/>
      <c r="G313" s="30"/>
      <c r="H313" s="30"/>
      <c r="I313" s="63"/>
      <c r="J313" s="63"/>
      <c r="K313" s="63"/>
      <c r="L313" s="63"/>
      <c r="M313" s="63"/>
      <c r="N313" s="117"/>
    </row>
    <row r="314" spans="2:14" ht="15" customHeight="1" outlineLevel="1">
      <c r="B314" s="177" t="s">
        <v>167</v>
      </c>
      <c r="C314" s="113"/>
      <c r="D314" s="30"/>
      <c r="E314" s="30"/>
      <c r="F314" s="300"/>
      <c r="G314" s="300"/>
      <c r="H314" s="140">
        <v>0</v>
      </c>
      <c r="I314" s="332">
        <f>YEARFRAC(I302,H302)</f>
        <v>0.83611111111111114</v>
      </c>
      <c r="J314" s="332">
        <f t="shared" ref="J314:M314" si="106">YEARFRAC(J302,I302)</f>
        <v>1</v>
      </c>
      <c r="K314" s="332">
        <f t="shared" si="106"/>
        <v>1</v>
      </c>
      <c r="L314" s="332">
        <f t="shared" si="106"/>
        <v>1</v>
      </c>
      <c r="M314" s="332">
        <f t="shared" si="106"/>
        <v>1</v>
      </c>
      <c r="N314" s="117"/>
    </row>
    <row r="315" spans="2:14" ht="6" customHeight="1" outlineLevel="1">
      <c r="B315" s="177"/>
      <c r="C315" s="113"/>
      <c r="D315" s="30"/>
      <c r="E315" s="30"/>
      <c r="F315" s="300"/>
      <c r="G315" s="300"/>
      <c r="H315" s="140"/>
      <c r="I315" s="333"/>
      <c r="J315" s="333"/>
      <c r="K315" s="333"/>
      <c r="L315" s="333"/>
      <c r="M315" s="333"/>
      <c r="N315" s="117"/>
    </row>
    <row r="316" spans="2:14" ht="15" customHeight="1" outlineLevel="1">
      <c r="B316" s="20" t="s">
        <v>159</v>
      </c>
      <c r="C316" s="113"/>
      <c r="D316" s="329"/>
      <c r="E316" s="30"/>
      <c r="F316" s="16"/>
      <c r="G316" s="117"/>
      <c r="H316" s="140">
        <v>0</v>
      </c>
      <c r="I316" s="330">
        <f>I309*I$314</f>
        <v>3910.8581497766072</v>
      </c>
      <c r="J316" s="330">
        <f t="shared" ref="J316:M316" si="107">J309*J$314</f>
        <v>4523.9761050320285</v>
      </c>
      <c r="K316" s="330">
        <f t="shared" si="107"/>
        <v>4276.3311975949082</v>
      </c>
      <c r="L316" s="330">
        <f t="shared" si="107"/>
        <v>4462.3585831564542</v>
      </c>
      <c r="M316" s="330">
        <f t="shared" si="107"/>
        <v>4659.2111784592453</v>
      </c>
      <c r="N316" s="117"/>
    </row>
    <row r="317" spans="2:14" ht="15" customHeight="1" outlineLevel="1">
      <c r="B317" s="20" t="s">
        <v>164</v>
      </c>
      <c r="C317" s="113"/>
      <c r="D317" s="30"/>
      <c r="E317" s="30"/>
      <c r="F317" s="16"/>
      <c r="G317" s="117"/>
      <c r="H317" s="143">
        <v>0</v>
      </c>
      <c r="I317" s="330">
        <f>I310*I$314</f>
        <v>0</v>
      </c>
      <c r="J317" s="330">
        <f>J310*J$314</f>
        <v>0</v>
      </c>
      <c r="K317" s="330">
        <f t="shared" ref="K317:M317" si="108">K310*K$314</f>
        <v>0</v>
      </c>
      <c r="L317" s="330">
        <f t="shared" si="108"/>
        <v>0</v>
      </c>
      <c r="M317" s="330">
        <f t="shared" si="108"/>
        <v>127416.36242135092</v>
      </c>
      <c r="N317" s="117"/>
    </row>
    <row r="318" spans="2:14" ht="15" customHeight="1" outlineLevel="1">
      <c r="B318" s="20" t="s">
        <v>165</v>
      </c>
      <c r="C318" s="113"/>
      <c r="D318" s="298"/>
      <c r="E318" s="298"/>
      <c r="F318" s="117"/>
      <c r="G318" s="117"/>
      <c r="H318" s="157">
        <f>SUM(H316:H317)</f>
        <v>0</v>
      </c>
      <c r="I318" s="330">
        <f>SUM(I316:I317)</f>
        <v>3910.8581497766072</v>
      </c>
      <c r="J318" s="330">
        <f t="shared" ref="J318:L318" si="109">SUM(J316:J317)</f>
        <v>4523.9761050320285</v>
      </c>
      <c r="K318" s="330">
        <f t="shared" si="109"/>
        <v>4276.3311975949082</v>
      </c>
      <c r="L318" s="330">
        <f t="shared" si="109"/>
        <v>4462.3585831564542</v>
      </c>
      <c r="M318" s="330">
        <f>SUM(M316:M317)</f>
        <v>132075.57359981016</v>
      </c>
      <c r="N318" s="117"/>
    </row>
    <row r="319" spans="2:14" ht="15" customHeight="1" outlineLevel="1">
      <c r="B319" s="177"/>
      <c r="C319" s="113"/>
      <c r="D319" s="30"/>
      <c r="E319" s="30"/>
      <c r="F319" s="300"/>
      <c r="G319" s="300"/>
      <c r="H319" s="140"/>
      <c r="I319" s="333"/>
      <c r="J319" s="333"/>
      <c r="K319" s="333"/>
      <c r="L319" s="333"/>
      <c r="M319" s="333"/>
      <c r="N319" s="117"/>
    </row>
    <row r="320" spans="2:14" ht="15" customHeight="1" outlineLevel="1">
      <c r="B320" s="189" t="s">
        <v>168</v>
      </c>
      <c r="C320" s="113"/>
      <c r="D320" s="30"/>
      <c r="E320" s="30"/>
      <c r="F320" s="16"/>
      <c r="G320" s="30"/>
      <c r="H320" s="30"/>
      <c r="I320" s="63"/>
      <c r="J320" s="63"/>
      <c r="K320" s="63"/>
      <c r="L320" s="63"/>
      <c r="M320" s="63"/>
      <c r="N320" s="117"/>
    </row>
    <row r="321" spans="2:14" ht="15" customHeight="1" outlineLevel="1">
      <c r="B321" s="177" t="s">
        <v>169</v>
      </c>
      <c r="C321" s="16"/>
      <c r="D321" s="30"/>
      <c r="E321" s="30"/>
      <c r="F321" s="117"/>
      <c r="G321" s="117"/>
      <c r="H321" s="123">
        <v>0</v>
      </c>
      <c r="I321" s="334">
        <f>H321+YEARFRAC(I303,H303)</f>
        <v>0.83611111111111114</v>
      </c>
      <c r="J321" s="334">
        <f t="shared" ref="J321:M321" si="110">I321+YEARFRAC(J303,I303)</f>
        <v>1.8361111111111112</v>
      </c>
      <c r="K321" s="334">
        <f t="shared" si="110"/>
        <v>2.8361111111111112</v>
      </c>
      <c r="L321" s="334">
        <f t="shared" si="110"/>
        <v>3.8361111111111112</v>
      </c>
      <c r="M321" s="334">
        <f t="shared" si="110"/>
        <v>4.8361111111111112</v>
      </c>
      <c r="N321" s="117"/>
    </row>
    <row r="322" spans="2:14" ht="6" customHeight="1" outlineLevel="1">
      <c r="B322" s="177"/>
      <c r="C322" s="16"/>
      <c r="D322" s="30"/>
      <c r="E322" s="30"/>
      <c r="F322" s="117"/>
      <c r="G322" s="117"/>
      <c r="H322" s="123"/>
      <c r="I322" s="124"/>
      <c r="J322" s="124"/>
      <c r="K322" s="124"/>
      <c r="L322" s="124"/>
      <c r="M322" s="124"/>
      <c r="N322" s="117"/>
    </row>
    <row r="323" spans="2:14" ht="15" customHeight="1" outlineLevel="1">
      <c r="B323" s="20" t="s">
        <v>159</v>
      </c>
      <c r="C323" s="113"/>
      <c r="D323" s="329"/>
      <c r="E323" s="30"/>
      <c r="F323" s="16"/>
      <c r="G323" s="117"/>
      <c r="H323" s="118">
        <v>0</v>
      </c>
      <c r="I323" s="330">
        <f>I316/(1+$C$303)^I$321</f>
        <v>3729.5026302132333</v>
      </c>
      <c r="J323" s="330">
        <f t="shared" ref="J323:M323" si="111">J316/(1+$C$303)^J$321</f>
        <v>4076.017042827621</v>
      </c>
      <c r="K323" s="330">
        <f t="shared" si="111"/>
        <v>3640.1883669303688</v>
      </c>
      <c r="L323" s="330">
        <f t="shared" si="111"/>
        <v>3588.8377549924348</v>
      </c>
      <c r="M323" s="330">
        <f t="shared" si="111"/>
        <v>3540.2879700298595</v>
      </c>
      <c r="N323" s="117"/>
    </row>
    <row r="324" spans="2:14" ht="15" customHeight="1" outlineLevel="1">
      <c r="B324" s="20" t="s">
        <v>164</v>
      </c>
      <c r="C324" s="113"/>
      <c r="D324" s="30"/>
      <c r="E324" s="30"/>
      <c r="F324" s="16"/>
      <c r="G324" s="117"/>
      <c r="H324" s="143">
        <v>0</v>
      </c>
      <c r="I324" s="330">
        <f>I317/(1+$C$303)^I$321</f>
        <v>0</v>
      </c>
      <c r="J324" s="330">
        <f t="shared" ref="J324:L324" si="112">J317/(1+$C$303)^J$321</f>
        <v>0</v>
      </c>
      <c r="K324" s="330">
        <f t="shared" si="112"/>
        <v>0</v>
      </c>
      <c r="L324" s="330">
        <f t="shared" si="112"/>
        <v>0</v>
      </c>
      <c r="M324" s="330">
        <f>M317/(1+$C$303)^M$321</f>
        <v>96816.949862840178</v>
      </c>
      <c r="N324" s="117"/>
    </row>
    <row r="325" spans="2:14" ht="15" customHeight="1" outlineLevel="1">
      <c r="B325" s="20" t="s">
        <v>165</v>
      </c>
      <c r="C325" s="113"/>
      <c r="D325" s="298"/>
      <c r="E325" s="298"/>
      <c r="F325" s="117"/>
      <c r="G325" s="117"/>
      <c r="H325" s="157">
        <f>SUM(H323:H324)</f>
        <v>0</v>
      </c>
      <c r="I325" s="330">
        <f>SUM(I323:I324)</f>
        <v>3729.5026302132333</v>
      </c>
      <c r="J325" s="330">
        <f t="shared" ref="J325:M325" si="113">SUM(J323:J324)</f>
        <v>4076.017042827621</v>
      </c>
      <c r="K325" s="330">
        <f t="shared" si="113"/>
        <v>3640.1883669303688</v>
      </c>
      <c r="L325" s="330">
        <f t="shared" si="113"/>
        <v>3588.8377549924348</v>
      </c>
      <c r="M325" s="330">
        <f t="shared" si="113"/>
        <v>100357.23783287004</v>
      </c>
      <c r="N325" s="117"/>
    </row>
    <row r="326" spans="2:14" ht="15" customHeight="1" outlineLevel="1">
      <c r="B326" s="177"/>
      <c r="C326" s="113"/>
      <c r="D326" s="30"/>
      <c r="E326" s="30"/>
      <c r="F326" s="300"/>
      <c r="G326" s="300"/>
      <c r="H326" s="140"/>
      <c r="I326" s="333"/>
      <c r="J326" s="333"/>
      <c r="K326" s="333"/>
      <c r="L326" s="333"/>
      <c r="M326" s="333"/>
      <c r="N326" s="117"/>
    </row>
    <row r="327" spans="2:14" ht="15" customHeight="1" outlineLevel="1">
      <c r="B327" s="16"/>
      <c r="C327" s="16"/>
      <c r="D327" s="16"/>
      <c r="E327" s="16"/>
      <c r="F327" s="304"/>
      <c r="G327" s="304"/>
      <c r="H327" s="304"/>
      <c r="I327" s="304"/>
      <c r="J327" s="304"/>
      <c r="K327" s="304"/>
      <c r="L327" s="304"/>
      <c r="M327" s="304"/>
      <c r="N327" s="16"/>
    </row>
    <row r="328" spans="2:14" ht="15" customHeight="1" outlineLevel="1">
      <c r="B328" s="16"/>
      <c r="C328" s="16"/>
      <c r="D328" s="16"/>
      <c r="E328" s="16"/>
      <c r="F328" s="35" t="s">
        <v>170</v>
      </c>
      <c r="G328" s="335"/>
      <c r="H328" s="304"/>
      <c r="I328" s="304"/>
      <c r="J328" s="35" t="s">
        <v>170</v>
      </c>
      <c r="K328" s="335"/>
      <c r="L328" s="304"/>
      <c r="M328" s="304"/>
      <c r="N328" s="16"/>
    </row>
    <row r="329" spans="2:14" ht="15" customHeight="1" outlineLevel="1">
      <c r="B329" s="16"/>
      <c r="C329" s="16"/>
      <c r="D329" s="16"/>
      <c r="E329" s="16"/>
      <c r="F329" s="336" t="s">
        <v>171</v>
      </c>
      <c r="G329" s="337"/>
      <c r="H329" s="273">
        <f>SUM(I325:M325)</f>
        <v>115391.78362783371</v>
      </c>
      <c r="I329" s="25"/>
      <c r="J329" s="336" t="s">
        <v>172</v>
      </c>
      <c r="K329" s="337"/>
      <c r="L329" s="338">
        <f>M329/$M$331</f>
        <v>0.16097189228742517</v>
      </c>
      <c r="M329" s="273">
        <f>SUM(I323:M323)</f>
        <v>18574.833764993517</v>
      </c>
      <c r="N329" s="16"/>
    </row>
    <row r="330" spans="2:14" ht="15" customHeight="1" outlineLevel="1">
      <c r="B330" s="16"/>
      <c r="C330" s="16"/>
      <c r="D330" s="16"/>
      <c r="E330" s="16"/>
      <c r="F330" s="339" t="s">
        <v>173</v>
      </c>
      <c r="G330" s="340"/>
      <c r="H330" s="341">
        <f>XNPV(C303,H318:M318,H303:M303)</f>
        <v>115360.33723461934</v>
      </c>
      <c r="I330" s="25"/>
      <c r="J330" s="342" t="s">
        <v>174</v>
      </c>
      <c r="K330" s="304"/>
      <c r="L330" s="343">
        <f t="shared" ref="L330" si="114">M330/$M$331</f>
        <v>0.83902810771257486</v>
      </c>
      <c r="M330" s="344">
        <f>SUM(I324:M324)</f>
        <v>96816.949862840178</v>
      </c>
      <c r="N330" s="16"/>
    </row>
    <row r="331" spans="2:14" ht="15" customHeight="1" outlineLevel="1">
      <c r="B331" s="16"/>
      <c r="C331" s="16"/>
      <c r="D331" s="16"/>
      <c r="E331" s="16"/>
      <c r="F331" s="16"/>
      <c r="G331" s="16"/>
      <c r="H331" s="16"/>
      <c r="I331" s="14"/>
      <c r="J331" s="342" t="s">
        <v>175</v>
      </c>
      <c r="K331" s="304"/>
      <c r="L331" s="338">
        <f>M331/$M$331</f>
        <v>1</v>
      </c>
      <c r="M331" s="273">
        <f>SUM(M329:M330)</f>
        <v>115391.78362783369</v>
      </c>
      <c r="N331" s="16"/>
    </row>
    <row r="332" spans="2:14" ht="15" customHeight="1" outlineLevel="1">
      <c r="B332" s="16"/>
      <c r="C332" s="16"/>
      <c r="D332" s="16"/>
      <c r="E332" s="16"/>
      <c r="F332" s="304"/>
      <c r="G332" s="304"/>
      <c r="H332" s="304"/>
      <c r="I332" s="14"/>
      <c r="J332" s="337"/>
      <c r="K332" s="337"/>
      <c r="L332" s="337"/>
      <c r="M332" s="337" t="s">
        <v>8</v>
      </c>
      <c r="N332" s="16"/>
    </row>
    <row r="333" spans="2:14" ht="15" customHeight="1" outlineLevel="1">
      <c r="B333" s="16"/>
      <c r="C333" s="16"/>
      <c r="D333" s="16"/>
      <c r="E333" s="16"/>
      <c r="F333" s="304"/>
      <c r="G333" s="304"/>
      <c r="H333" s="304"/>
      <c r="I333" s="14"/>
      <c r="J333" s="304"/>
      <c r="K333" s="304"/>
      <c r="L333" s="304"/>
      <c r="M333" s="304"/>
      <c r="N333" s="16"/>
    </row>
    <row r="334" spans="2:14" ht="15" customHeight="1" outlineLevel="1">
      <c r="B334" s="16"/>
      <c r="C334" s="16"/>
      <c r="D334" s="16"/>
      <c r="E334" s="16"/>
      <c r="F334" s="35" t="s">
        <v>176</v>
      </c>
      <c r="G334" s="117"/>
      <c r="H334" s="304"/>
      <c r="I334" s="14"/>
      <c r="J334" s="35" t="s">
        <v>177</v>
      </c>
      <c r="K334" s="117"/>
      <c r="L334" s="304"/>
      <c r="M334" s="304"/>
      <c r="N334" s="16"/>
    </row>
    <row r="335" spans="2:14" ht="15" customHeight="1" outlineLevel="1">
      <c r="B335" s="16"/>
      <c r="C335" s="16"/>
      <c r="D335" s="16"/>
      <c r="E335" s="16"/>
      <c r="F335" s="336" t="s">
        <v>175</v>
      </c>
      <c r="G335" s="337"/>
      <c r="H335" s="273">
        <f>H330</f>
        <v>115360.33723461934</v>
      </c>
      <c r="I335" s="25"/>
      <c r="J335" s="336" t="s">
        <v>178</v>
      </c>
      <c r="K335" s="337"/>
      <c r="L335" s="337"/>
      <c r="M335" s="273">
        <f>H337</f>
        <v>107347.33723461934</v>
      </c>
      <c r="N335" s="16"/>
    </row>
    <row r="336" spans="2:14" ht="15" customHeight="1" outlineLevel="1">
      <c r="B336" s="16"/>
      <c r="C336" s="16"/>
      <c r="D336" s="16"/>
      <c r="E336" s="16"/>
      <c r="F336" s="342" t="s">
        <v>179</v>
      </c>
      <c r="G336" s="304"/>
      <c r="H336" s="174">
        <f>-Inputs!L98</f>
        <v>-8013</v>
      </c>
      <c r="I336" s="14"/>
      <c r="J336" s="342" t="s">
        <v>53</v>
      </c>
      <c r="K336" s="304"/>
      <c r="L336" s="345" t="s">
        <v>54</v>
      </c>
      <c r="M336" s="174">
        <f>Inputs!F109</f>
        <v>269.89999999999998</v>
      </c>
      <c r="N336" s="16"/>
    </row>
    <row r="337" spans="2:14" ht="15" customHeight="1" outlineLevel="1">
      <c r="B337" s="16"/>
      <c r="C337" s="16"/>
      <c r="D337" s="16"/>
      <c r="E337" s="16"/>
      <c r="F337" s="339" t="s">
        <v>178</v>
      </c>
      <c r="G337" s="340"/>
      <c r="H337" s="200">
        <f>SUM(H335:H336)</f>
        <v>107347.33723461934</v>
      </c>
      <c r="I337" s="25"/>
      <c r="J337" s="342" t="s">
        <v>178</v>
      </c>
      <c r="K337" s="304"/>
      <c r="L337" s="346" t="s">
        <v>180</v>
      </c>
      <c r="M337" s="347">
        <f>M335/M336</f>
        <v>397.73003792004204</v>
      </c>
      <c r="N337" s="16"/>
    </row>
    <row r="338" spans="2:14" ht="15" customHeight="1" outlineLevel="1">
      <c r="B338" s="16"/>
      <c r="C338" s="117"/>
      <c r="D338" s="16"/>
      <c r="E338" s="16"/>
      <c r="F338" s="304"/>
      <c r="G338" s="304"/>
      <c r="H338" s="304"/>
      <c r="I338" s="304"/>
      <c r="J338" s="337"/>
      <c r="K338" s="337"/>
      <c r="L338" s="337"/>
      <c r="M338" s="337"/>
      <c r="N338" s="16"/>
    </row>
    <row r="339" spans="2:14" ht="15" customHeight="1" outlineLevel="1">
      <c r="B339" s="16"/>
      <c r="C339" s="117"/>
      <c r="D339" s="16"/>
      <c r="E339" s="16"/>
      <c r="F339" s="304"/>
      <c r="G339" s="304"/>
      <c r="H339" s="304"/>
      <c r="I339" s="304"/>
      <c r="J339" s="304"/>
      <c r="K339" s="304"/>
      <c r="L339" s="304"/>
      <c r="M339" s="304"/>
      <c r="N339" s="16"/>
    </row>
    <row r="340" spans="2:14" ht="15" customHeight="1" outlineLevel="1">
      <c r="B340" s="113"/>
      <c r="C340" s="36"/>
      <c r="D340" s="125"/>
      <c r="E340" s="30"/>
      <c r="F340" s="348"/>
      <c r="G340" s="348"/>
      <c r="H340" s="348"/>
      <c r="I340" s="349"/>
      <c r="J340" s="349"/>
      <c r="K340" s="349"/>
      <c r="L340" s="349"/>
      <c r="M340" s="350" t="s">
        <v>181</v>
      </c>
      <c r="N340" s="113"/>
    </row>
    <row r="341" spans="2:14" ht="15" customHeight="1" outlineLevel="1">
      <c r="B341" s="113"/>
      <c r="C341" s="36"/>
      <c r="D341" s="30"/>
      <c r="E341" s="30"/>
      <c r="F341" s="30"/>
      <c r="G341" s="30"/>
      <c r="H341" s="30"/>
      <c r="I341" s="63"/>
      <c r="J341" s="63"/>
      <c r="K341" s="63"/>
      <c r="L341" s="63"/>
      <c r="M341" s="258"/>
      <c r="N341" s="113"/>
    </row>
    <row r="342" spans="2:14" ht="15" customHeight="1" outlineLevel="1">
      <c r="B342" s="221"/>
      <c r="C342" s="15"/>
      <c r="D342" s="119"/>
      <c r="E342" s="119"/>
      <c r="F342" s="119"/>
      <c r="G342" s="119"/>
      <c r="H342" s="119"/>
      <c r="I342" s="222"/>
      <c r="J342" s="222"/>
      <c r="K342" s="222"/>
      <c r="L342" s="222"/>
      <c r="M342" s="222"/>
      <c r="N342" s="222"/>
    </row>
    <row r="343" spans="2:14" ht="15" customHeight="1">
      <c r="B343" s="18"/>
      <c r="C343" s="36"/>
      <c r="D343" s="30"/>
      <c r="E343" s="30"/>
      <c r="F343" s="30"/>
      <c r="G343" s="30"/>
      <c r="H343" s="30"/>
      <c r="I343" s="63"/>
      <c r="J343" s="63"/>
      <c r="K343" s="63"/>
      <c r="L343" s="63"/>
      <c r="M343" s="63"/>
      <c r="N343" s="63"/>
    </row>
    <row r="344" spans="2:14" ht="15" customHeight="1">
      <c r="B344" s="56" t="s">
        <v>182</v>
      </c>
      <c r="C344" s="57"/>
      <c r="D344" s="168"/>
      <c r="E344" s="168"/>
      <c r="F344" s="59"/>
      <c r="G344" s="59"/>
      <c r="H344" s="59"/>
      <c r="I344" s="169"/>
      <c r="J344" s="170"/>
      <c r="K344" s="170"/>
      <c r="L344" s="170"/>
      <c r="M344" s="170"/>
      <c r="N344" s="170"/>
    </row>
    <row r="345" spans="2:14" ht="15" customHeight="1" outlineLevel="1">
      <c r="B345" s="126"/>
      <c r="C345" s="36"/>
      <c r="D345" s="10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</row>
    <row r="346" spans="2:14" ht="15" customHeight="1" outlineLevel="1">
      <c r="B346" s="18" t="s">
        <v>39</v>
      </c>
      <c r="C346" s="36"/>
      <c r="D346" s="103"/>
      <c r="E346" s="103"/>
      <c r="F346" s="104"/>
      <c r="G346" s="104"/>
      <c r="H346" s="104"/>
      <c r="I346" s="104"/>
      <c r="J346" s="104"/>
      <c r="K346" s="104"/>
      <c r="L346" s="104"/>
      <c r="M346" s="104"/>
      <c r="N346" s="104"/>
    </row>
    <row r="347" spans="2:14" ht="15" customHeight="1" outlineLevel="1">
      <c r="B347" s="18" t="str">
        <f>B300</f>
        <v>Model Running: Base Case Drivers</v>
      </c>
      <c r="C347" s="113"/>
      <c r="D347" s="113"/>
      <c r="E347" s="103"/>
      <c r="F347" s="104"/>
      <c r="G347" s="104"/>
      <c r="H347" s="313" t="s">
        <v>52</v>
      </c>
      <c r="I347" s="314" t="s">
        <v>159</v>
      </c>
      <c r="J347" s="315"/>
      <c r="K347" s="315"/>
      <c r="L347" s="315"/>
      <c r="M347" s="315"/>
      <c r="N347" s="316" t="s">
        <v>10</v>
      </c>
    </row>
    <row r="348" spans="2:14" ht="15" customHeight="1" outlineLevel="1">
      <c r="B348" s="113"/>
      <c r="C348" s="113"/>
      <c r="D348" s="113"/>
      <c r="E348" s="30"/>
      <c r="F348" s="113"/>
      <c r="G348" s="113"/>
      <c r="H348" s="317" t="s">
        <v>42</v>
      </c>
      <c r="I348" s="317" t="s">
        <v>42</v>
      </c>
      <c r="J348" s="318" t="s">
        <v>42</v>
      </c>
      <c r="K348" s="318" t="s">
        <v>42</v>
      </c>
      <c r="L348" s="318" t="s">
        <v>42</v>
      </c>
      <c r="M348" s="318" t="s">
        <v>42</v>
      </c>
      <c r="N348" s="319" t="s">
        <v>42</v>
      </c>
    </row>
    <row r="349" spans="2:14" ht="15" customHeight="1" outlineLevel="1">
      <c r="B349" s="207" t="s">
        <v>183</v>
      </c>
      <c r="C349" s="351">
        <f>Outputs!O56</f>
        <v>16</v>
      </c>
      <c r="D349" s="113"/>
      <c r="E349" s="30"/>
      <c r="F349" s="321" t="s">
        <v>161</v>
      </c>
      <c r="G349" s="113"/>
      <c r="H349" s="322">
        <f>Inputs!$F$98</f>
        <v>46081</v>
      </c>
      <c r="I349" s="322">
        <f>Inputs!$F$100</f>
        <v>46387</v>
      </c>
      <c r="J349" s="323">
        <f>EDATE(I349,12)</f>
        <v>46752</v>
      </c>
      <c r="K349" s="323">
        <f t="shared" ref="K349:N350" si="115">EDATE(J349,12)</f>
        <v>47118</v>
      </c>
      <c r="L349" s="323">
        <f t="shared" si="115"/>
        <v>47483</v>
      </c>
      <c r="M349" s="323">
        <f t="shared" si="115"/>
        <v>47848</v>
      </c>
      <c r="N349" s="324">
        <f t="shared" si="115"/>
        <v>48213</v>
      </c>
    </row>
    <row r="350" spans="2:14" ht="15" customHeight="1" outlineLevel="1" thickBot="1">
      <c r="B350" s="262" t="s">
        <v>17</v>
      </c>
      <c r="C350" s="325">
        <f>Outputs!O57</f>
        <v>5.8432495579961892E-2</v>
      </c>
      <c r="D350" s="103"/>
      <c r="E350" s="30"/>
      <c r="F350" s="321" t="s">
        <v>162</v>
      </c>
      <c r="G350" s="113"/>
      <c r="H350" s="322">
        <f>H349</f>
        <v>46081</v>
      </c>
      <c r="I350" s="322">
        <f>Inputs!$F$99</f>
        <v>46387</v>
      </c>
      <c r="J350" s="323">
        <f>EDATE(I350,12)</f>
        <v>46752</v>
      </c>
      <c r="K350" s="323">
        <f t="shared" si="115"/>
        <v>47118</v>
      </c>
      <c r="L350" s="323">
        <f t="shared" si="115"/>
        <v>47483</v>
      </c>
      <c r="M350" s="323">
        <f t="shared" si="115"/>
        <v>47848</v>
      </c>
      <c r="N350" s="326">
        <f t="shared" si="115"/>
        <v>48213</v>
      </c>
    </row>
    <row r="351" spans="2:14" ht="15" customHeight="1" outlineLevel="1">
      <c r="B351" s="126"/>
      <c r="C351" s="36"/>
      <c r="D351" s="103"/>
      <c r="E351" s="103"/>
      <c r="F351" s="104"/>
      <c r="G351" s="104"/>
      <c r="H351" s="327"/>
      <c r="I351" s="327"/>
      <c r="J351" s="327"/>
      <c r="K351" s="327"/>
      <c r="L351" s="327"/>
      <c r="M351" s="327"/>
      <c r="N351" s="327"/>
    </row>
    <row r="352" spans="2:14" ht="15" customHeight="1" outlineLevel="1">
      <c r="B352" s="37" t="s">
        <v>151</v>
      </c>
      <c r="C352" s="114"/>
      <c r="D352" s="348"/>
      <c r="E352" s="348"/>
      <c r="F352" s="117"/>
      <c r="G352" s="117"/>
      <c r="H352" s="352"/>
      <c r="I352" s="122">
        <f>I$286</f>
        <v>4677.4383186696959</v>
      </c>
      <c r="J352" s="122">
        <f t="shared" ref="J352:N352" si="116">J$286</f>
        <v>4523.9761050320285</v>
      </c>
      <c r="K352" s="122">
        <f t="shared" si="116"/>
        <v>4276.3311975949082</v>
      </c>
      <c r="L352" s="122">
        <f t="shared" si="116"/>
        <v>4462.3585831564542</v>
      </c>
      <c r="M352" s="122">
        <f t="shared" si="116"/>
        <v>4659.2111784592453</v>
      </c>
      <c r="N352" s="121">
        <f t="shared" si="116"/>
        <v>4896.9287855733919</v>
      </c>
    </row>
    <row r="353" spans="2:14" ht="15" customHeight="1" outlineLevel="1">
      <c r="B353" s="37" t="s">
        <v>76</v>
      </c>
      <c r="C353" s="114"/>
      <c r="D353" s="348"/>
      <c r="E353" s="348"/>
      <c r="F353" s="117"/>
      <c r="G353" s="117"/>
      <c r="H353" s="353"/>
      <c r="I353" s="120"/>
      <c r="J353" s="120"/>
      <c r="K353" s="120"/>
      <c r="L353" s="120"/>
      <c r="M353" s="133"/>
      <c r="N353" s="354">
        <f>N44</f>
        <v>8214.1298262614182</v>
      </c>
    </row>
    <row r="354" spans="2:14" ht="15" customHeight="1" outlineLevel="1"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</row>
    <row r="355" spans="2:14" ht="15" customHeight="1" outlineLevel="1">
      <c r="B355" s="189" t="s">
        <v>163</v>
      </c>
      <c r="C355" s="113"/>
      <c r="D355" s="113"/>
      <c r="E355" s="30"/>
      <c r="F355" s="16"/>
      <c r="G355" s="16"/>
      <c r="H355" s="16"/>
      <c r="I355" s="16"/>
      <c r="J355" s="16"/>
      <c r="K355" s="16"/>
      <c r="L355" s="16"/>
      <c r="M355" s="16"/>
      <c r="N355" s="16"/>
    </row>
    <row r="356" spans="2:14" ht="15" customHeight="1" outlineLevel="1">
      <c r="B356" s="177" t="s">
        <v>159</v>
      </c>
      <c r="C356" s="113"/>
      <c r="D356" s="329"/>
      <c r="E356" s="30"/>
      <c r="F356" s="355" t="s">
        <v>184</v>
      </c>
      <c r="G356" s="117"/>
      <c r="H356" s="140">
        <v>0</v>
      </c>
      <c r="I356" s="330">
        <f>I352</f>
        <v>4677.4383186696959</v>
      </c>
      <c r="J356" s="330">
        <f t="shared" ref="J356:N356" si="117">J352</f>
        <v>4523.9761050320285</v>
      </c>
      <c r="K356" s="330">
        <f t="shared" si="117"/>
        <v>4276.3311975949082</v>
      </c>
      <c r="L356" s="330">
        <f t="shared" si="117"/>
        <v>4462.3585831564542</v>
      </c>
      <c r="M356" s="330">
        <f t="shared" si="117"/>
        <v>4659.2111784592453</v>
      </c>
      <c r="N356" s="330">
        <f t="shared" si="117"/>
        <v>4896.9287855733919</v>
      </c>
    </row>
    <row r="357" spans="2:14" ht="15" customHeight="1" outlineLevel="1">
      <c r="B357" s="177" t="s">
        <v>185</v>
      </c>
      <c r="C357" s="113"/>
      <c r="D357" s="30"/>
      <c r="E357" s="30"/>
      <c r="F357" s="356" t="s">
        <v>186</v>
      </c>
      <c r="G357" s="117"/>
      <c r="H357" s="143">
        <v>0</v>
      </c>
      <c r="I357" s="143">
        <v>0</v>
      </c>
      <c r="J357" s="143">
        <v>0</v>
      </c>
      <c r="K357" s="143">
        <v>0</v>
      </c>
      <c r="L357" s="143">
        <v>0</v>
      </c>
      <c r="M357" s="143">
        <v>0</v>
      </c>
      <c r="N357" s="331">
        <f>(N353*C349)/(1+C350)^F358</f>
        <v>131426.07722018269</v>
      </c>
    </row>
    <row r="358" spans="2:14" ht="15" customHeight="1" outlineLevel="1">
      <c r="B358" s="177" t="s">
        <v>165</v>
      </c>
      <c r="C358" s="113"/>
      <c r="D358" s="298"/>
      <c r="E358" s="298"/>
      <c r="F358" s="357">
        <f>YEARFRAC(N350,N349)</f>
        <v>0</v>
      </c>
      <c r="G358" s="25"/>
      <c r="H358" s="157">
        <f>SUM(H356:H357)</f>
        <v>0</v>
      </c>
      <c r="I358" s="330">
        <f>SUM(I356:I357)</f>
        <v>4677.4383186696959</v>
      </c>
      <c r="J358" s="330">
        <f t="shared" ref="J358:N358" si="118">SUM(J356:J357)</f>
        <v>4523.9761050320285</v>
      </c>
      <c r="K358" s="330">
        <f t="shared" si="118"/>
        <v>4276.3311975949082</v>
      </c>
      <c r="L358" s="330">
        <f t="shared" si="118"/>
        <v>4462.3585831564542</v>
      </c>
      <c r="M358" s="330">
        <f t="shared" si="118"/>
        <v>4659.2111784592453</v>
      </c>
      <c r="N358" s="330">
        <f t="shared" si="118"/>
        <v>136323.00600575609</v>
      </c>
    </row>
    <row r="359" spans="2:14" ht="15" customHeight="1" outlineLevel="1">
      <c r="B359" s="189"/>
      <c r="C359" s="113"/>
      <c r="D359" s="30"/>
      <c r="E359" s="30"/>
      <c r="F359" s="300"/>
      <c r="G359" s="300"/>
      <c r="H359" s="300"/>
      <c r="I359" s="300"/>
      <c r="J359" s="300"/>
      <c r="K359" s="300"/>
      <c r="L359" s="300"/>
      <c r="M359" s="16"/>
      <c r="N359" s="16"/>
    </row>
    <row r="360" spans="2:14" ht="15" customHeight="1" outlineLevel="1">
      <c r="B360" s="189" t="s">
        <v>166</v>
      </c>
      <c r="C360" s="113"/>
      <c r="D360" s="30"/>
      <c r="E360" s="30"/>
      <c r="F360" s="300"/>
      <c r="G360" s="300"/>
      <c r="H360" s="140"/>
      <c r="I360" s="333"/>
      <c r="J360" s="333"/>
      <c r="K360" s="333"/>
      <c r="L360" s="333"/>
      <c r="M360" s="333"/>
      <c r="N360" s="333"/>
    </row>
    <row r="361" spans="2:14" ht="15" customHeight="1" outlineLevel="1">
      <c r="B361" s="177" t="s">
        <v>167</v>
      </c>
      <c r="C361" s="113"/>
      <c r="D361" s="30"/>
      <c r="E361" s="30"/>
      <c r="F361" s="300"/>
      <c r="G361" s="300"/>
      <c r="H361" s="140">
        <v>0</v>
      </c>
      <c r="I361" s="333">
        <f t="shared" ref="I361:N361" si="119">YEARFRAC(I349,H349)</f>
        <v>0.83611111111111114</v>
      </c>
      <c r="J361" s="333">
        <f t="shared" si="119"/>
        <v>1</v>
      </c>
      <c r="K361" s="333">
        <f t="shared" si="119"/>
        <v>1</v>
      </c>
      <c r="L361" s="333">
        <f t="shared" si="119"/>
        <v>1</v>
      </c>
      <c r="M361" s="333">
        <f t="shared" si="119"/>
        <v>1</v>
      </c>
      <c r="N361" s="333">
        <f t="shared" si="119"/>
        <v>1</v>
      </c>
    </row>
    <row r="362" spans="2:14" ht="6" customHeight="1" outlineLevel="1">
      <c r="B362" s="177"/>
      <c r="C362" s="113"/>
      <c r="D362" s="30"/>
      <c r="E362" s="30"/>
      <c r="F362" s="300"/>
      <c r="G362" s="300"/>
      <c r="H362" s="140"/>
      <c r="I362" s="333"/>
      <c r="J362" s="333"/>
      <c r="K362" s="333"/>
      <c r="L362" s="333"/>
      <c r="M362" s="333"/>
      <c r="N362" s="333"/>
    </row>
    <row r="363" spans="2:14" ht="15" customHeight="1" outlineLevel="1">
      <c r="B363" s="20" t="s">
        <v>159</v>
      </c>
      <c r="C363" s="113"/>
      <c r="D363" s="30"/>
      <c r="E363" s="30"/>
      <c r="F363" s="300"/>
      <c r="G363" s="300"/>
      <c r="H363" s="140">
        <v>0</v>
      </c>
      <c r="I363" s="157">
        <f>I356*I$361</f>
        <v>3910.8581497766072</v>
      </c>
      <c r="J363" s="157">
        <f>J356*J$361</f>
        <v>4523.9761050320285</v>
      </c>
      <c r="K363" s="157">
        <f t="shared" ref="K363:N363" si="120">K356*K$361</f>
        <v>4276.3311975949082</v>
      </c>
      <c r="L363" s="157">
        <f t="shared" si="120"/>
        <v>4462.3585831564542</v>
      </c>
      <c r="M363" s="157">
        <f t="shared" si="120"/>
        <v>4659.2111784592453</v>
      </c>
      <c r="N363" s="157">
        <f t="shared" si="120"/>
        <v>4896.9287855733919</v>
      </c>
    </row>
    <row r="364" spans="2:14" ht="15" customHeight="1" outlineLevel="1">
      <c r="B364" s="20" t="s">
        <v>164</v>
      </c>
      <c r="C364" s="113"/>
      <c r="D364" s="30"/>
      <c r="E364" s="30"/>
      <c r="F364" s="300"/>
      <c r="G364" s="300"/>
      <c r="H364" s="143">
        <v>0</v>
      </c>
      <c r="I364" s="255">
        <f>I357*I$361</f>
        <v>0</v>
      </c>
      <c r="J364" s="255">
        <f t="shared" ref="J364:N364" si="121">J357*J$361</f>
        <v>0</v>
      </c>
      <c r="K364" s="255">
        <f t="shared" si="121"/>
        <v>0</v>
      </c>
      <c r="L364" s="255">
        <f t="shared" si="121"/>
        <v>0</v>
      </c>
      <c r="M364" s="255">
        <f t="shared" si="121"/>
        <v>0</v>
      </c>
      <c r="N364" s="255">
        <f t="shared" si="121"/>
        <v>131426.07722018269</v>
      </c>
    </row>
    <row r="365" spans="2:14" ht="15" customHeight="1" outlineLevel="1">
      <c r="B365" s="20" t="s">
        <v>165</v>
      </c>
      <c r="C365" s="113"/>
      <c r="D365" s="30"/>
      <c r="E365" s="30"/>
      <c r="F365" s="300"/>
      <c r="G365" s="300"/>
      <c r="H365" s="157">
        <f t="shared" ref="H365" si="122">SUM(H363:H364)</f>
        <v>0</v>
      </c>
      <c r="I365" s="157">
        <f>SUM(I363:I364)</f>
        <v>3910.8581497766072</v>
      </c>
      <c r="J365" s="157">
        <f t="shared" ref="J365:M365" si="123">SUM(J363:J364)</f>
        <v>4523.9761050320285</v>
      </c>
      <c r="K365" s="157">
        <f t="shared" si="123"/>
        <v>4276.3311975949082</v>
      </c>
      <c r="L365" s="157">
        <f t="shared" si="123"/>
        <v>4462.3585831564542</v>
      </c>
      <c r="M365" s="157">
        <f t="shared" si="123"/>
        <v>4659.2111784592453</v>
      </c>
      <c r="N365" s="157">
        <f>SUM(N363:N364)</f>
        <v>136323.00600575609</v>
      </c>
    </row>
    <row r="366" spans="2:14" ht="15" customHeight="1" outlineLevel="1">
      <c r="B366" s="177"/>
      <c r="C366" s="113"/>
      <c r="D366" s="30"/>
      <c r="E366" s="30"/>
      <c r="F366" s="300"/>
      <c r="G366" s="300"/>
      <c r="H366" s="140"/>
      <c r="I366" s="333"/>
      <c r="J366" s="333"/>
      <c r="K366" s="333"/>
      <c r="L366" s="333"/>
      <c r="M366" s="333"/>
      <c r="N366" s="333"/>
    </row>
    <row r="367" spans="2:14" ht="15" customHeight="1" outlineLevel="1">
      <c r="B367" s="189" t="s">
        <v>168</v>
      </c>
      <c r="C367" s="113"/>
      <c r="D367" s="30"/>
      <c r="E367" s="30"/>
      <c r="F367" s="300"/>
      <c r="G367" s="300"/>
      <c r="H367" s="140"/>
      <c r="I367" s="333"/>
      <c r="J367" s="333"/>
      <c r="K367" s="333"/>
      <c r="L367" s="333"/>
      <c r="M367" s="333"/>
      <c r="N367" s="333"/>
    </row>
    <row r="368" spans="2:14" ht="15" customHeight="1" outlineLevel="1">
      <c r="B368" s="177" t="s">
        <v>169</v>
      </c>
      <c r="C368" s="113"/>
      <c r="D368" s="30"/>
      <c r="E368" s="30"/>
      <c r="F368" s="300"/>
      <c r="G368" s="300"/>
      <c r="H368" s="123">
        <v>0</v>
      </c>
      <c r="I368" s="124">
        <f t="shared" ref="I368:N368" si="124">H368+YEARFRAC(H350,I350)</f>
        <v>0.83611111111111114</v>
      </c>
      <c r="J368" s="124">
        <f t="shared" si="124"/>
        <v>1.8361111111111112</v>
      </c>
      <c r="K368" s="124">
        <f t="shared" si="124"/>
        <v>2.8361111111111112</v>
      </c>
      <c r="L368" s="124">
        <f t="shared" si="124"/>
        <v>3.8361111111111112</v>
      </c>
      <c r="M368" s="124">
        <f t="shared" si="124"/>
        <v>4.8361111111111112</v>
      </c>
      <c r="N368" s="124">
        <f t="shared" si="124"/>
        <v>5.8361111111111112</v>
      </c>
    </row>
    <row r="369" spans="2:14" ht="6" customHeight="1" outlineLevel="1">
      <c r="B369" s="177"/>
      <c r="C369" s="113"/>
      <c r="D369" s="30"/>
      <c r="E369" s="30"/>
      <c r="F369" s="300"/>
      <c r="G369" s="300"/>
      <c r="H369" s="123"/>
      <c r="I369" s="124"/>
      <c r="J369" s="124"/>
      <c r="K369" s="124"/>
      <c r="L369" s="124"/>
      <c r="M369" s="124"/>
      <c r="N369" s="124"/>
    </row>
    <row r="370" spans="2:14" ht="15" customHeight="1" outlineLevel="1">
      <c r="B370" s="20" t="s">
        <v>159</v>
      </c>
      <c r="C370" s="113"/>
      <c r="D370" s="30"/>
      <c r="E370" s="30"/>
      <c r="F370" s="300"/>
      <c r="G370" s="300"/>
      <c r="H370" s="118">
        <v>0</v>
      </c>
      <c r="I370" s="112">
        <f t="shared" ref="I370:N370" si="125">I363/(1+$C$350)^I$368</f>
        <v>3729.5026302132333</v>
      </c>
      <c r="J370" s="112">
        <f t="shared" si="125"/>
        <v>4076.017042827621</v>
      </c>
      <c r="K370" s="112">
        <f t="shared" si="125"/>
        <v>3640.1883669303688</v>
      </c>
      <c r="L370" s="112">
        <f t="shared" si="125"/>
        <v>3588.8377549924348</v>
      </c>
      <c r="M370" s="112">
        <f t="shared" si="125"/>
        <v>3540.2879700298595</v>
      </c>
      <c r="N370" s="112">
        <f t="shared" si="125"/>
        <v>3515.4976941917703</v>
      </c>
    </row>
    <row r="371" spans="2:14" ht="15" customHeight="1" outlineLevel="1">
      <c r="B371" s="20" t="s">
        <v>164</v>
      </c>
      <c r="C371" s="113"/>
      <c r="D371" s="30"/>
      <c r="E371" s="30"/>
      <c r="F371" s="300"/>
      <c r="G371" s="300"/>
      <c r="H371" s="133">
        <v>0</v>
      </c>
      <c r="I371" s="120">
        <f>I364/(1+$C$350)^I$368</f>
        <v>0</v>
      </c>
      <c r="J371" s="120">
        <f t="shared" ref="J371:M371" si="126">J364/(1+$C$350)^J$368</f>
        <v>0</v>
      </c>
      <c r="K371" s="120">
        <f t="shared" si="126"/>
        <v>0</v>
      </c>
      <c r="L371" s="120">
        <f t="shared" si="126"/>
        <v>0</v>
      </c>
      <c r="M371" s="120">
        <f t="shared" si="126"/>
        <v>0</v>
      </c>
      <c r="N371" s="120">
        <f>N364/(1+$C$350)^N$368</f>
        <v>94350.580058542138</v>
      </c>
    </row>
    <row r="372" spans="2:14" ht="15" customHeight="1" outlineLevel="1">
      <c r="B372" s="20" t="s">
        <v>165</v>
      </c>
      <c r="C372" s="113"/>
      <c r="D372" s="30"/>
      <c r="E372" s="30"/>
      <c r="F372" s="300"/>
      <c r="G372" s="300"/>
      <c r="H372" s="157">
        <f t="shared" ref="H372:N372" si="127">SUM(H370:H371)</f>
        <v>0</v>
      </c>
      <c r="I372" s="157">
        <f t="shared" si="127"/>
        <v>3729.5026302132333</v>
      </c>
      <c r="J372" s="157">
        <f t="shared" si="127"/>
        <v>4076.017042827621</v>
      </c>
      <c r="K372" s="157">
        <f t="shared" si="127"/>
        <v>3640.1883669303688</v>
      </c>
      <c r="L372" s="157">
        <f t="shared" si="127"/>
        <v>3588.8377549924348</v>
      </c>
      <c r="M372" s="157">
        <f t="shared" si="127"/>
        <v>3540.2879700298595</v>
      </c>
      <c r="N372" s="157">
        <f t="shared" si="127"/>
        <v>97866.077752733909</v>
      </c>
    </row>
    <row r="373" spans="2:14" ht="15" customHeight="1" outlineLevel="1">
      <c r="B373" s="20"/>
      <c r="C373" s="113"/>
      <c r="D373" s="30"/>
      <c r="E373" s="30"/>
      <c r="F373" s="300"/>
      <c r="G373" s="300"/>
      <c r="H373" s="140"/>
      <c r="I373" s="333"/>
      <c r="J373" s="333"/>
      <c r="K373" s="333"/>
      <c r="L373" s="333"/>
      <c r="M373" s="333"/>
      <c r="N373" s="333"/>
    </row>
    <row r="374" spans="2:14" ht="15" customHeight="1" outlineLevel="1">
      <c r="B374" s="177"/>
      <c r="C374" s="113"/>
      <c r="D374" s="298"/>
      <c r="E374" s="298"/>
      <c r="F374" s="117"/>
      <c r="G374" s="117"/>
      <c r="H374" s="157"/>
      <c r="I374" s="157"/>
      <c r="J374" s="157"/>
      <c r="K374" s="157"/>
      <c r="L374" s="157"/>
      <c r="M374" s="157"/>
      <c r="N374" s="157"/>
    </row>
    <row r="375" spans="2:14" ht="15" customHeight="1" outlineLevel="1">
      <c r="B375" s="189"/>
      <c r="C375" s="113"/>
      <c r="D375" s="30"/>
      <c r="E375" s="30"/>
      <c r="F375" s="189" t="s">
        <v>170</v>
      </c>
      <c r="G375" s="358"/>
      <c r="H375" s="270"/>
      <c r="I375" s="117"/>
      <c r="J375" s="35" t="s">
        <v>170</v>
      </c>
      <c r="K375" s="335"/>
      <c r="L375" s="304"/>
      <c r="M375" s="304"/>
      <c r="N375" s="117"/>
    </row>
    <row r="376" spans="2:14" ht="15" customHeight="1" outlineLevel="1">
      <c r="B376" s="177"/>
      <c r="C376" s="113"/>
      <c r="D376" s="30"/>
      <c r="E376" s="30"/>
      <c r="F376" s="359" t="s">
        <v>171</v>
      </c>
      <c r="G376" s="208"/>
      <c r="H376" s="273">
        <f>SUM(I372:N372)</f>
        <v>116440.91151772742</v>
      </c>
      <c r="I376" s="25"/>
      <c r="J376" s="336" t="s">
        <v>172</v>
      </c>
      <c r="K376" s="337"/>
      <c r="L376" s="360">
        <f>M376/$M$378</f>
        <v>0.18971280086400016</v>
      </c>
      <c r="M376" s="172">
        <f>SUM(I370:N370)</f>
        <v>22090.331459185287</v>
      </c>
      <c r="N376" s="112"/>
    </row>
    <row r="377" spans="2:14" ht="15" customHeight="1" outlineLevel="1">
      <c r="B377" s="177"/>
      <c r="C377" s="16"/>
      <c r="D377" s="298"/>
      <c r="E377" s="298"/>
      <c r="F377" s="361" t="s">
        <v>187</v>
      </c>
      <c r="G377" s="12"/>
      <c r="H377" s="341">
        <f>XNPV(C350,H365:N365,H350:N350)</f>
        <v>116409.1681785714</v>
      </c>
      <c r="I377" s="25"/>
      <c r="J377" s="342" t="s">
        <v>174</v>
      </c>
      <c r="K377" s="304"/>
      <c r="L377" s="362">
        <f t="shared" ref="L377" si="128">M377/$M$378</f>
        <v>0.81028719913599989</v>
      </c>
      <c r="M377" s="111">
        <f>SUM(I371:N371)</f>
        <v>94350.580058542138</v>
      </c>
      <c r="N377" s="112"/>
    </row>
    <row r="378" spans="2:14" ht="15" customHeight="1" outlineLevel="1">
      <c r="B378" s="16"/>
      <c r="C378" s="16"/>
      <c r="D378" s="16"/>
      <c r="E378" s="16"/>
      <c r="F378" s="16"/>
      <c r="G378" s="16"/>
      <c r="H378" s="16"/>
      <c r="I378" s="16"/>
      <c r="J378" s="339" t="s">
        <v>175</v>
      </c>
      <c r="K378" s="340"/>
      <c r="L378" s="362">
        <f>M378/M378</f>
        <v>1</v>
      </c>
      <c r="M378" s="111">
        <f>SUM(M376:M377)</f>
        <v>116440.91151772742</v>
      </c>
      <c r="N378" s="16"/>
    </row>
    <row r="379" spans="2:14" ht="15" customHeight="1" outlineLevel="1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 spans="2:14" ht="15" customHeight="1" outlineLevel="1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 spans="2:14" ht="15" customHeight="1" outlineLevel="1">
      <c r="B381" s="16"/>
      <c r="C381" s="16"/>
      <c r="D381" s="16"/>
      <c r="E381" s="16"/>
      <c r="F381" s="189" t="s">
        <v>176</v>
      </c>
      <c r="G381" s="117"/>
      <c r="H381" s="16"/>
      <c r="I381" s="16"/>
      <c r="J381" s="189" t="s">
        <v>177</v>
      </c>
      <c r="K381" s="117"/>
      <c r="L381" s="16"/>
      <c r="M381" s="16"/>
      <c r="N381" s="16"/>
    </row>
    <row r="382" spans="2:14" ht="15" customHeight="1" outlineLevel="1">
      <c r="B382" s="16"/>
      <c r="C382" s="16"/>
      <c r="D382" s="16"/>
      <c r="E382" s="16"/>
      <c r="F382" s="359" t="s">
        <v>175</v>
      </c>
      <c r="G382" s="363"/>
      <c r="H382" s="172">
        <f>H377</f>
        <v>116409.1681785714</v>
      </c>
      <c r="I382" s="16"/>
      <c r="J382" s="359" t="s">
        <v>178</v>
      </c>
      <c r="K382" s="363"/>
      <c r="L382" s="363"/>
      <c r="M382" s="172">
        <f>H384</f>
        <v>108396.1681785714</v>
      </c>
      <c r="N382" s="16"/>
    </row>
    <row r="383" spans="2:14" ht="15" customHeight="1" outlineLevel="1">
      <c r="B383" s="16"/>
      <c r="C383" s="16"/>
      <c r="D383" s="16"/>
      <c r="E383" s="16"/>
      <c r="F383" s="342" t="s">
        <v>179</v>
      </c>
      <c r="G383" s="16"/>
      <c r="H383" s="364">
        <f>-Inputs!L98</f>
        <v>-8013</v>
      </c>
      <c r="I383" s="16"/>
      <c r="J383" s="365" t="s">
        <v>53</v>
      </c>
      <c r="K383" s="16"/>
      <c r="L383" s="366" t="s">
        <v>54</v>
      </c>
      <c r="M383" s="364">
        <f>Inputs!F109</f>
        <v>269.89999999999998</v>
      </c>
      <c r="N383" s="16"/>
    </row>
    <row r="384" spans="2:14" ht="15" customHeight="1" outlineLevel="1">
      <c r="B384" s="16"/>
      <c r="C384" s="16"/>
      <c r="D384" s="16"/>
      <c r="E384" s="16"/>
      <c r="F384" s="361" t="s">
        <v>178</v>
      </c>
      <c r="G384" s="12"/>
      <c r="H384" s="111">
        <f>SUM(H382:H383)</f>
        <v>108396.1681785714</v>
      </c>
      <c r="I384" s="16"/>
      <c r="J384" s="361" t="s">
        <v>178</v>
      </c>
      <c r="K384" s="12"/>
      <c r="L384" s="367" t="s">
        <v>180</v>
      </c>
      <c r="M384" s="368">
        <f>M382/M383</f>
        <v>401.61603623034978</v>
      </c>
      <c r="N384" s="16"/>
    </row>
    <row r="385" spans="2:14" ht="15" customHeight="1" outlineLevel="1">
      <c r="B385" s="16"/>
      <c r="C385" s="1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2:14" ht="15" customHeight="1" outlineLevel="1">
      <c r="B386" s="113"/>
      <c r="C386" s="36"/>
      <c r="D386" s="30"/>
      <c r="E386" s="30"/>
      <c r="F386" s="30"/>
      <c r="G386" s="30"/>
      <c r="H386" s="30"/>
      <c r="I386" s="63"/>
      <c r="J386" s="63"/>
      <c r="K386" s="63"/>
      <c r="L386" s="63"/>
      <c r="M386" s="195" t="s">
        <v>188</v>
      </c>
      <c r="N386" s="113"/>
    </row>
    <row r="387" spans="2:14" ht="15" customHeight="1" outlineLevel="1">
      <c r="B387" s="125"/>
      <c r="C387" s="36"/>
      <c r="D387" s="30"/>
      <c r="E387" s="30"/>
      <c r="F387" s="30"/>
      <c r="G387" s="30"/>
      <c r="H387" s="30"/>
      <c r="I387" s="63"/>
      <c r="J387" s="63"/>
      <c r="K387" s="63"/>
      <c r="L387" s="63"/>
      <c r="M387" s="257" t="s">
        <v>189</v>
      </c>
      <c r="N387" s="113"/>
    </row>
    <row r="388" spans="2:14" ht="15" customHeight="1"/>
    <row r="389" spans="2:14" ht="15" customHeight="1"/>
    <row r="390" spans="2:14" ht="15" customHeight="1"/>
    <row r="391" spans="2:14" ht="15" customHeight="1"/>
    <row r="392" spans="2:14" ht="15" customHeight="1"/>
    <row r="393" spans="2:14" ht="15" customHeight="1"/>
    <row r="394" spans="2:14" ht="15" customHeight="1"/>
    <row r="395" spans="2:14" ht="15" customHeight="1"/>
    <row r="396" spans="2:14" ht="15" customHeight="1"/>
    <row r="397" spans="2:14" ht="15" customHeight="1"/>
    <row r="398" spans="2:14" ht="15" customHeight="1"/>
    <row r="399" spans="2:14" ht="15" customHeight="1"/>
    <row r="400" spans="2:14" ht="15" customHeight="1"/>
    <row r="401" ht="15" customHeight="1"/>
  </sheetData>
  <conditionalFormatting sqref="D181">
    <cfRule type="expression" dxfId="2" priority="3">
      <formula>$D$183=1</formula>
    </cfRule>
  </conditionalFormatting>
  <conditionalFormatting sqref="D223">
    <cfRule type="expression" dxfId="1" priority="2">
      <formula>$D$225=1</formula>
    </cfRule>
  </conditionalFormatting>
  <conditionalFormatting sqref="I289:N289">
    <cfRule type="expression" dxfId="0" priority="1">
      <formula>I289=1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Outputs</vt:lpstr>
      <vt:lpstr>Inputs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Tabellini</dc:creator>
  <cp:lastModifiedBy>TABELLINI Erick</cp:lastModifiedBy>
  <dcterms:created xsi:type="dcterms:W3CDTF">2015-06-05T18:17:20Z</dcterms:created>
  <dcterms:modified xsi:type="dcterms:W3CDTF">2026-03-09T14:46:37Z</dcterms:modified>
</cp:coreProperties>
</file>